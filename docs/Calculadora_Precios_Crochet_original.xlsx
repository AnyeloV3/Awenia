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d38d0b978851679/Escritorio/"/>
    </mc:Choice>
  </mc:AlternateContent>
  <xr:revisionPtr revIDLastSave="79" documentId="13_ncr:1_{4A1D3031-698A-41FA-90CC-B4E7C351E23D}" xr6:coauthVersionLast="47" xr6:coauthVersionMax="47" xr10:uidLastSave="{00D7B828-5B00-4A00-923B-16484BB1E84D}"/>
  <bookViews>
    <workbookView xWindow="-120" yWindow="-120" windowWidth="20730" windowHeight="11040" activeTab="7" xr2:uid="{00000000-000D-0000-FFFF-FFFF00000000}"/>
  </bookViews>
  <sheets>
    <sheet name="ramo" sheetId="12" r:id="rId1"/>
    <sheet name="Anyelo" sheetId="11" r:id="rId2"/>
    <sheet name="Muñe ale" sheetId="10" r:id="rId3"/>
    <sheet name="Dahiky" sheetId="9" r:id="rId4"/>
    <sheet name="Taza" sheetId="8" r:id="rId5"/>
    <sheet name="Conejo" sheetId="7" r:id="rId6"/>
    <sheet name="Gallina" sheetId="5" r:id="rId7"/>
    <sheet name="Lazo" sheetId="4" r:id="rId8"/>
    <sheet name="Gancito" sheetId="1" r:id="rId9"/>
    <sheet name="Configuración" sheetId="2" r:id="rId10"/>
    <sheet name="Config" sheetId="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2" l="1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B6" i="12"/>
  <c r="B7" i="12" s="1"/>
  <c r="B34" i="12" s="1"/>
  <c r="B40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B7" i="11"/>
  <c r="B34" i="11" s="1"/>
  <c r="B6" i="11"/>
  <c r="B40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B7" i="10"/>
  <c r="B34" i="10" s="1"/>
  <c r="B6" i="10"/>
  <c r="B40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B6" i="9"/>
  <c r="B7" i="9" s="1"/>
  <c r="B34" i="9" s="1"/>
  <c r="B40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B33" i="8" s="1"/>
  <c r="B6" i="8"/>
  <c r="B7" i="8" s="1"/>
  <c r="B34" i="8" s="1"/>
  <c r="B40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B33" i="7" s="1"/>
  <c r="B7" i="7"/>
  <c r="B34" i="7" s="1"/>
  <c r="B6" i="7"/>
  <c r="B40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B7" i="5"/>
  <c r="B34" i="5" s="1"/>
  <c r="B6" i="5"/>
  <c r="B40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B7" i="4"/>
  <c r="B34" i="4" s="1"/>
  <c r="B6" i="4"/>
  <c r="B40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B6" i="1"/>
  <c r="B7" i="1" s="1"/>
  <c r="B34" i="1" s="1"/>
  <c r="B33" i="12" l="1"/>
  <c r="B35" i="12"/>
  <c r="B33" i="11"/>
  <c r="B35" i="11" s="1"/>
  <c r="B33" i="10"/>
  <c r="B35" i="10"/>
  <c r="B33" i="9"/>
  <c r="B35" i="9"/>
  <c r="B35" i="8"/>
  <c r="B35" i="7"/>
  <c r="B33" i="5"/>
  <c r="B35" i="5" s="1"/>
  <c r="B33" i="4"/>
  <c r="B35" i="4" s="1"/>
  <c r="B33" i="1"/>
  <c r="B35" i="1" s="1"/>
  <c r="B36" i="12" l="1"/>
  <c r="B37" i="12" s="1"/>
  <c r="B36" i="11"/>
  <c r="B37" i="11" s="1"/>
  <c r="B36" i="10"/>
  <c r="B37" i="10"/>
  <c r="B36" i="9"/>
  <c r="B37" i="9" s="1"/>
  <c r="B36" i="8"/>
  <c r="B37" i="8" s="1"/>
  <c r="B36" i="7"/>
  <c r="B37" i="7" s="1"/>
  <c r="B36" i="5"/>
  <c r="B37" i="5" s="1"/>
  <c r="B36" i="4"/>
  <c r="B37" i="4" s="1"/>
  <c r="B36" i="1"/>
  <c r="B37" i="1" s="1"/>
  <c r="B38" i="1" s="1"/>
  <c r="B38" i="12" l="1"/>
  <c r="E34" i="12" s="1"/>
  <c r="B38" i="11"/>
  <c r="E34" i="11" s="1"/>
  <c r="B38" i="10"/>
  <c r="E34" i="10" s="1"/>
  <c r="B39" i="10"/>
  <c r="B41" i="10" s="1"/>
  <c r="B42" i="10" s="1"/>
  <c r="B38" i="9"/>
  <c r="E34" i="9" s="1"/>
  <c r="B38" i="8"/>
  <c r="E34" i="8" s="1"/>
  <c r="B38" i="7"/>
  <c r="E34" i="7" s="1"/>
  <c r="B39" i="7"/>
  <c r="B41" i="7" s="1"/>
  <c r="B42" i="7" s="1"/>
  <c r="B38" i="5"/>
  <c r="E34" i="5" s="1"/>
  <c r="B38" i="4"/>
  <c r="E34" i="4" s="1"/>
  <c r="E34" i="1"/>
  <c r="B39" i="12" l="1"/>
  <c r="B41" i="12" s="1"/>
  <c r="B42" i="12" s="1"/>
  <c r="E38" i="12" s="1"/>
  <c r="E35" i="12"/>
  <c r="E36" i="12"/>
  <c r="B39" i="11"/>
  <c r="B41" i="11" s="1"/>
  <c r="B42" i="11" s="1"/>
  <c r="E36" i="11" s="1"/>
  <c r="E36" i="10"/>
  <c r="E38" i="10"/>
  <c r="E37" i="10"/>
  <c r="E35" i="10"/>
  <c r="B39" i="9"/>
  <c r="B41" i="9" s="1"/>
  <c r="B42" i="9" s="1"/>
  <c r="E36" i="9" s="1"/>
  <c r="B39" i="8"/>
  <c r="B41" i="8" s="1"/>
  <c r="B42" i="8" s="1"/>
  <c r="E36" i="7"/>
  <c r="E38" i="7"/>
  <c r="E37" i="7"/>
  <c r="E35" i="7"/>
  <c r="B39" i="5"/>
  <c r="B41" i="5" s="1"/>
  <c r="B42" i="5" s="1"/>
  <c r="B39" i="4"/>
  <c r="B41" i="4" s="1"/>
  <c r="B42" i="4" s="1"/>
  <c r="B39" i="1"/>
  <c r="B41" i="1" s="1"/>
  <c r="B42" i="1" s="1"/>
  <c r="E35" i="1" s="1"/>
  <c r="E37" i="12" l="1"/>
  <c r="E35" i="11"/>
  <c r="E37" i="11"/>
  <c r="E38" i="11"/>
  <c r="E38" i="9"/>
  <c r="E35" i="9"/>
  <c r="E37" i="9"/>
  <c r="E36" i="8"/>
  <c r="E38" i="8"/>
  <c r="E37" i="8"/>
  <c r="E35" i="8"/>
  <c r="E36" i="5"/>
  <c r="E38" i="5"/>
  <c r="E37" i="5"/>
  <c r="E35" i="5"/>
  <c r="E36" i="4"/>
  <c r="E38" i="4"/>
  <c r="E37" i="4"/>
  <c r="E35" i="4"/>
  <c r="E36" i="1"/>
  <c r="E38" i="1"/>
  <c r="E37" i="1"/>
</calcChain>
</file>

<file path=xl/sharedStrings.xml><?xml version="1.0" encoding="utf-8"?>
<sst xmlns="http://schemas.openxmlformats.org/spreadsheetml/2006/main" count="638" uniqueCount="63">
  <si>
    <t>Calculadora universal de precios para crochet</t>
  </si>
  <si>
    <t>Datos del producto</t>
  </si>
  <si>
    <t>Nombre / referencia</t>
  </si>
  <si>
    <t>Tiempo total (horas)</t>
  </si>
  <si>
    <t>Mano de obra por hora</t>
  </si>
  <si>
    <t>Costo mano de obra</t>
  </si>
  <si>
    <t>Materiales y accesorios</t>
  </si>
  <si>
    <t>Material / accesorio</t>
  </si>
  <si>
    <t>Precio compra</t>
  </si>
  <si>
    <t>Cantidad comprada</t>
  </si>
  <si>
    <t>Cantidad usada</t>
  </si>
  <si>
    <t>Unidad</t>
  </si>
  <si>
    <t>Costo usado</t>
  </si>
  <si>
    <t>Notas</t>
  </si>
  <si>
    <t>Tipo</t>
  </si>
  <si>
    <t>Lana / hilo principal</t>
  </si>
  <si>
    <t>g</t>
  </si>
  <si>
    <t>Ej.: ovillo de 100 g</t>
  </si>
  <si>
    <t>Material</t>
  </si>
  <si>
    <t>Lana / hilo secundario</t>
  </si>
  <si>
    <t>Zíper</t>
  </si>
  <si>
    <t>unidad</t>
  </si>
  <si>
    <t>Accesorio</t>
  </si>
  <si>
    <t>Llavín / herraje</t>
  </si>
  <si>
    <t>Resumen de precio</t>
  </si>
  <si>
    <t>Costo materiales/accesorios</t>
  </si>
  <si>
    <t>Indicadores</t>
  </si>
  <si>
    <t>Ganancia del negocio</t>
  </si>
  <si>
    <t>Subtotal directo</t>
  </si>
  <si>
    <t>Margen sobre venta</t>
  </si>
  <si>
    <t>Costos indirectos</t>
  </si>
  <si>
    <t>Ingreso por hora trabajada</t>
  </si>
  <si>
    <t>Costo total real</t>
  </si>
  <si>
    <t>Materiales % del precio</t>
  </si>
  <si>
    <t>Ganancia objetivo</t>
  </si>
  <si>
    <t>Mano de obra % del precio</t>
  </si>
  <si>
    <t>Precio antes de comisión</t>
  </si>
  <si>
    <t>Comisión de pago/venta</t>
  </si>
  <si>
    <t>Uso rápido</t>
  </si>
  <si>
    <t>Precio matemático</t>
  </si>
  <si>
    <t>1) Indica las horas reales de trabajo.
2) Para cada material pon precio de compra, cantidad total que trae y cantidad usada.
3) Para un zíper, broche o llavín individual usa 1 comprado y 1 usado.
4) Ajusta mano de obra, ganancia, indirectos, comisión y redondeo en Configuración.
5) El PRECIO SUGERIDO se calcula automáticamente y sirve para cualquier producto.</t>
  </si>
  <si>
    <t>PRECIO SUGERIDO</t>
  </si>
  <si>
    <t>Configuración general de precios</t>
  </si>
  <si>
    <t>Parámetro</t>
  </si>
  <si>
    <t>Valor</t>
  </si>
  <si>
    <t>Cómo usar</t>
  </si>
  <si>
    <t>Monto que quieres pagarte por cada hora efectiva de trabajo.</t>
  </si>
  <si>
    <t>Ganancia adicional del negocio sobre el costo total.</t>
  </si>
  <si>
    <t>Empaque, electricidad, transporte menor, desgaste, etc.</t>
  </si>
  <si>
    <t>Úsalo si una plataforma o método de pago cobra comisión.</t>
  </si>
  <si>
    <t>Redondeo comercial</t>
  </si>
  <si>
    <t>El precio sugerido se redondea hacia arriba a este múltiplo.</t>
  </si>
  <si>
    <t>Gancito</t>
  </si>
  <si>
    <t>broches</t>
  </si>
  <si>
    <t>separador lazo</t>
  </si>
  <si>
    <t>ojitos</t>
  </si>
  <si>
    <t>Gallina separador</t>
  </si>
  <si>
    <t>Conejo</t>
  </si>
  <si>
    <t>Gatito ale</t>
  </si>
  <si>
    <t>relleno</t>
  </si>
  <si>
    <t>Muñequitos</t>
  </si>
  <si>
    <t>mapache</t>
  </si>
  <si>
    <t>ramo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</si>
</sst>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₡#,##0"/>
    <numFmt numFmtId="165" formatCode="0.0%"/>
  </numFmts>
  <fonts count="5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b/>
      <sz val="13"/>
      <name val="Carlito"/>
    </font>
  </fonts>
  <fills count="8">
    <fill>
      <patternFill patternType="none"/>
    </fill>
    <fill>
      <patternFill patternType="gray125"/>
    </fill>
    <fill>
      <patternFill patternType="solid">
        <fgColor rgb="FF5B3A29"/>
      </patternFill>
    </fill>
    <fill>
      <patternFill patternType="solid">
        <fgColor rgb="FFD8B7A0"/>
      </patternFill>
    </fill>
    <fill>
      <patternFill patternType="solid">
        <fgColor rgb="FFFFF4CC"/>
      </patternFill>
    </fill>
    <fill>
      <patternFill patternType="solid">
        <fgColor rgb="FFEFE2D9"/>
      </patternFill>
    </fill>
    <fill>
      <patternFill patternType="solid">
        <fgColor rgb="FFFFF9E8"/>
      </patternFill>
    </fill>
    <fill>
      <patternFill patternType="solid">
        <fgColor rgb="FFE8C7A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16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0" fontId="2" fillId="5" borderId="0" xfId="0" applyFont="1" applyFill="1" applyAlignment="1">
      <alignment horizontal="center" wrapText="1"/>
    </xf>
    <xf numFmtId="0" fontId="0" fillId="4" borderId="0" xfId="0" applyFill="1" applyAlignment="1">
      <alignment wrapText="1"/>
    </xf>
    <xf numFmtId="2" fontId="0" fillId="4" borderId="0" xfId="0" applyNumberFormat="1" applyFill="1" applyAlignment="1">
      <alignment wrapText="1"/>
    </xf>
    <xf numFmtId="0" fontId="0" fillId="6" borderId="0" xfId="0" applyFill="1" applyAlignment="1">
      <alignment wrapText="1"/>
    </xf>
    <xf numFmtId="164" fontId="0" fillId="6" borderId="0" xfId="0" applyNumberFormat="1" applyFill="1" applyAlignment="1">
      <alignment wrapText="1"/>
    </xf>
    <xf numFmtId="2" fontId="0" fillId="6" borderId="0" xfId="0" applyNumberFormat="1" applyFill="1" applyAlignment="1">
      <alignment wrapText="1"/>
    </xf>
    <xf numFmtId="0" fontId="2" fillId="0" borderId="0" xfId="0" applyFont="1" applyAlignment="1">
      <alignment wrapText="1"/>
    </xf>
    <xf numFmtId="165" fontId="0" fillId="0" borderId="0" xfId="0" applyNumberFormat="1" applyAlignment="1">
      <alignment wrapText="1"/>
    </xf>
    <xf numFmtId="0" fontId="4" fillId="7" borderId="0" xfId="0" applyFont="1" applyFill="1" applyAlignment="1">
      <alignment wrapText="1"/>
    </xf>
    <xf numFmtId="164" fontId="4" fillId="7" borderId="0" xfId="0" applyNumberFormat="1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D994D-B1A0-4A93-88FA-489A2EF05E87}">
  <dimension ref="A1:H45"/>
  <sheetViews>
    <sheetView topLeftCell="A31" workbookViewId="0">
      <selection activeCell="D18" sqref="D18"/>
    </sheetView>
  </sheetViews>
  <sheetFormatPr baseColWidth="10" defaultColWidth="9" defaultRowHeight="14.25"/>
  <cols>
    <col min="1" max="1" width="28" customWidth="1"/>
    <col min="2" max="4" width="16" customWidth="1"/>
    <col min="5" max="5" width="12" customWidth="1"/>
    <col min="6" max="6" width="16" customWidth="1"/>
    <col min="7" max="7" width="28" customWidth="1"/>
    <col min="8" max="8" width="14" customWidth="1"/>
  </cols>
  <sheetData>
    <row r="1" spans="1:8" ht="20.25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1"/>
      <c r="B2" s="1"/>
      <c r="C2" s="1"/>
      <c r="D2" s="1"/>
      <c r="E2" s="1"/>
      <c r="F2" s="1"/>
      <c r="G2" s="1"/>
      <c r="H2" s="1"/>
    </row>
    <row r="3" spans="1:8" ht="15">
      <c r="A3" s="2" t="s">
        <v>1</v>
      </c>
      <c r="B3" s="2"/>
      <c r="C3" s="1"/>
      <c r="D3" s="1"/>
      <c r="E3" s="1"/>
      <c r="F3" s="1"/>
      <c r="G3" s="1"/>
      <c r="H3" s="1"/>
    </row>
    <row r="4" spans="1:8">
      <c r="A4" s="1" t="s">
        <v>2</v>
      </c>
      <c r="B4" s="6" t="s">
        <v>62</v>
      </c>
      <c r="C4" s="1"/>
      <c r="D4" s="1"/>
      <c r="E4" s="1"/>
      <c r="F4" s="1"/>
      <c r="G4" s="1"/>
      <c r="H4" s="1"/>
    </row>
    <row r="5" spans="1:8">
      <c r="A5" s="1" t="s">
        <v>3</v>
      </c>
      <c r="B5" s="7">
        <v>2</v>
      </c>
      <c r="C5" s="1"/>
      <c r="D5" s="1"/>
      <c r="E5" s="1"/>
      <c r="F5" s="1"/>
      <c r="G5" s="1"/>
      <c r="H5" s="1"/>
    </row>
    <row r="6" spans="1:8">
      <c r="A6" s="1" t="s">
        <v>4</v>
      </c>
      <c r="B6" s="3">
        <f>Config!B4</f>
        <v>1500</v>
      </c>
      <c r="C6" s="1"/>
      <c r="D6" s="1"/>
      <c r="E6" s="1"/>
      <c r="F6" s="1"/>
      <c r="G6" s="1"/>
      <c r="H6" s="1"/>
    </row>
    <row r="7" spans="1:8">
      <c r="A7" s="1" t="s">
        <v>5</v>
      </c>
      <c r="B7" s="3">
        <f>B5*B6</f>
        <v>3000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 ht="15">
      <c r="A9" s="16" t="s">
        <v>6</v>
      </c>
      <c r="B9" s="16"/>
      <c r="C9" s="16"/>
      <c r="D9" s="16"/>
      <c r="E9" s="16"/>
      <c r="F9" s="16"/>
      <c r="G9" s="16"/>
      <c r="H9" s="16"/>
    </row>
    <row r="10" spans="1:8" ht="30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</row>
    <row r="11" spans="1:8">
      <c r="A11" s="8" t="s">
        <v>15</v>
      </c>
      <c r="B11" s="9">
        <v>2600</v>
      </c>
      <c r="C11" s="10">
        <v>100</v>
      </c>
      <c r="D11" s="10">
        <v>25</v>
      </c>
      <c r="E11" s="8" t="s">
        <v>16</v>
      </c>
      <c r="F11" s="3">
        <f t="shared" ref="F11:F30" si="0">IFERROR((B11/C11)*D11,0)</f>
        <v>650</v>
      </c>
      <c r="G11" s="8" t="s">
        <v>17</v>
      </c>
      <c r="H11" s="8" t="s">
        <v>18</v>
      </c>
    </row>
    <row r="12" spans="1:8">
      <c r="A12" s="8" t="s">
        <v>19</v>
      </c>
      <c r="B12" s="9">
        <v>0</v>
      </c>
      <c r="C12" s="10">
        <v>0</v>
      </c>
      <c r="D12" s="10">
        <v>0</v>
      </c>
      <c r="E12" s="8" t="s">
        <v>16</v>
      </c>
      <c r="F12" s="3">
        <f t="shared" si="0"/>
        <v>0</v>
      </c>
      <c r="G12" s="8"/>
      <c r="H12" s="8" t="s">
        <v>18</v>
      </c>
    </row>
    <row r="13" spans="1:8">
      <c r="A13" s="8" t="s">
        <v>20</v>
      </c>
      <c r="B13" s="9">
        <v>0</v>
      </c>
      <c r="C13" s="10">
        <v>1</v>
      </c>
      <c r="D13" s="10">
        <v>0</v>
      </c>
      <c r="E13" s="8" t="s">
        <v>21</v>
      </c>
      <c r="F13" s="3">
        <f t="shared" si="0"/>
        <v>0</v>
      </c>
      <c r="G13" s="8"/>
      <c r="H13" s="8" t="s">
        <v>22</v>
      </c>
    </row>
    <row r="14" spans="1:8">
      <c r="A14" s="8" t="s">
        <v>23</v>
      </c>
      <c r="B14" s="9">
        <v>50</v>
      </c>
      <c r="C14" s="10">
        <v>1</v>
      </c>
      <c r="D14" s="10">
        <v>0</v>
      </c>
      <c r="E14" s="8" t="s">
        <v>21</v>
      </c>
      <c r="F14" s="3">
        <f t="shared" si="0"/>
        <v>0</v>
      </c>
      <c r="G14" s="8"/>
      <c r="H14" s="8" t="s">
        <v>22</v>
      </c>
    </row>
    <row r="15" spans="1:8">
      <c r="A15" s="8" t="s">
        <v>53</v>
      </c>
      <c r="B15" s="9">
        <v>625</v>
      </c>
      <c r="C15" s="10">
        <v>30</v>
      </c>
      <c r="D15" s="10">
        <v>0</v>
      </c>
      <c r="E15" s="8" t="s">
        <v>21</v>
      </c>
      <c r="F15" s="3">
        <f t="shared" si="0"/>
        <v>0</v>
      </c>
      <c r="G15" s="8"/>
      <c r="H15" s="8" t="s">
        <v>18</v>
      </c>
    </row>
    <row r="16" spans="1:8">
      <c r="A16" s="8" t="s">
        <v>55</v>
      </c>
      <c r="B16" s="9">
        <v>250</v>
      </c>
      <c r="C16" s="10">
        <v>5</v>
      </c>
      <c r="D16" s="10">
        <v>0</v>
      </c>
      <c r="E16" s="8"/>
      <c r="F16" s="3">
        <f t="shared" si="0"/>
        <v>0</v>
      </c>
      <c r="G16" s="8"/>
      <c r="H16" s="8" t="s">
        <v>18</v>
      </c>
    </row>
    <row r="17" spans="1:8">
      <c r="A17" s="8" t="s">
        <v>59</v>
      </c>
      <c r="B17" s="9">
        <v>5400</v>
      </c>
      <c r="C17" s="10">
        <v>1000</v>
      </c>
      <c r="D17" s="10">
        <v>0</v>
      </c>
      <c r="E17" s="8" t="s">
        <v>16</v>
      </c>
      <c r="F17" s="3">
        <f t="shared" si="0"/>
        <v>0</v>
      </c>
      <c r="G17" s="8"/>
      <c r="H17" s="8" t="s">
        <v>18</v>
      </c>
    </row>
    <row r="18" spans="1:8">
      <c r="A18" s="8"/>
      <c r="B18" s="9">
        <v>0</v>
      </c>
      <c r="C18" s="10">
        <v>1</v>
      </c>
      <c r="D18" s="10">
        <v>0</v>
      </c>
      <c r="E18" s="8"/>
      <c r="F18" s="3">
        <f t="shared" si="0"/>
        <v>0</v>
      </c>
      <c r="G18" s="8"/>
      <c r="H18" s="8" t="s">
        <v>18</v>
      </c>
    </row>
    <row r="19" spans="1:8">
      <c r="A19" s="8"/>
      <c r="B19" s="9">
        <v>0</v>
      </c>
      <c r="C19" s="10">
        <v>1</v>
      </c>
      <c r="D19" s="10">
        <v>0</v>
      </c>
      <c r="E19" s="8"/>
      <c r="F19" s="3">
        <f t="shared" si="0"/>
        <v>0</v>
      </c>
      <c r="G19" s="8"/>
      <c r="H19" s="8" t="s">
        <v>18</v>
      </c>
    </row>
    <row r="20" spans="1:8">
      <c r="A20" s="8"/>
      <c r="B20" s="9">
        <v>0</v>
      </c>
      <c r="C20" s="10">
        <v>1</v>
      </c>
      <c r="D20" s="10">
        <v>0</v>
      </c>
      <c r="E20" s="8"/>
      <c r="F20" s="3">
        <f t="shared" si="0"/>
        <v>0</v>
      </c>
      <c r="G20" s="8"/>
      <c r="H20" s="8" t="s">
        <v>18</v>
      </c>
    </row>
    <row r="21" spans="1:8">
      <c r="A21" s="8"/>
      <c r="B21" s="9">
        <v>0</v>
      </c>
      <c r="C21" s="10">
        <v>1</v>
      </c>
      <c r="D21" s="10">
        <v>0</v>
      </c>
      <c r="E21" s="8"/>
      <c r="F21" s="3">
        <f t="shared" si="0"/>
        <v>0</v>
      </c>
      <c r="G21" s="8"/>
      <c r="H21" s="8" t="s">
        <v>18</v>
      </c>
    </row>
    <row r="22" spans="1:8">
      <c r="A22" s="8"/>
      <c r="B22" s="9">
        <v>0</v>
      </c>
      <c r="C22" s="10">
        <v>1</v>
      </c>
      <c r="D22" s="10">
        <v>0</v>
      </c>
      <c r="E22" s="8"/>
      <c r="F22" s="3">
        <f t="shared" si="0"/>
        <v>0</v>
      </c>
      <c r="G22" s="8"/>
      <c r="H22" s="8" t="s">
        <v>18</v>
      </c>
    </row>
    <row r="23" spans="1:8">
      <c r="A23" s="8"/>
      <c r="B23" s="9">
        <v>0</v>
      </c>
      <c r="C23" s="10">
        <v>1</v>
      </c>
      <c r="D23" s="10">
        <v>0</v>
      </c>
      <c r="E23" s="8"/>
      <c r="F23" s="3">
        <f t="shared" si="0"/>
        <v>0</v>
      </c>
      <c r="G23" s="8"/>
      <c r="H23" s="8" t="s">
        <v>18</v>
      </c>
    </row>
    <row r="24" spans="1:8">
      <c r="A24" s="8"/>
      <c r="B24" s="9">
        <v>0</v>
      </c>
      <c r="C24" s="10">
        <v>1</v>
      </c>
      <c r="D24" s="10">
        <v>0</v>
      </c>
      <c r="E24" s="8"/>
      <c r="F24" s="3">
        <f t="shared" si="0"/>
        <v>0</v>
      </c>
      <c r="G24" s="8"/>
      <c r="H24" s="8" t="s">
        <v>18</v>
      </c>
    </row>
    <row r="25" spans="1:8">
      <c r="A25" s="8"/>
      <c r="B25" s="9">
        <v>0</v>
      </c>
      <c r="C25" s="10">
        <v>1</v>
      </c>
      <c r="D25" s="10">
        <v>0</v>
      </c>
      <c r="E25" s="8"/>
      <c r="F25" s="3">
        <f t="shared" si="0"/>
        <v>0</v>
      </c>
      <c r="G25" s="8"/>
      <c r="H25" s="8" t="s">
        <v>18</v>
      </c>
    </row>
    <row r="26" spans="1:8">
      <c r="A26" s="8"/>
      <c r="B26" s="9">
        <v>0</v>
      </c>
      <c r="C26" s="10">
        <v>1</v>
      </c>
      <c r="D26" s="10">
        <v>0</v>
      </c>
      <c r="E26" s="8"/>
      <c r="F26" s="3">
        <f t="shared" si="0"/>
        <v>0</v>
      </c>
      <c r="G26" s="8"/>
      <c r="H26" s="8" t="s">
        <v>18</v>
      </c>
    </row>
    <row r="27" spans="1:8">
      <c r="A27" s="8"/>
      <c r="B27" s="9">
        <v>0</v>
      </c>
      <c r="C27" s="10">
        <v>1</v>
      </c>
      <c r="D27" s="10">
        <v>0</v>
      </c>
      <c r="E27" s="8"/>
      <c r="F27" s="3">
        <f t="shared" si="0"/>
        <v>0</v>
      </c>
      <c r="G27" s="8"/>
      <c r="H27" s="8" t="s">
        <v>18</v>
      </c>
    </row>
    <row r="28" spans="1:8">
      <c r="A28" s="8"/>
      <c r="B28" s="9">
        <v>0</v>
      </c>
      <c r="C28" s="10">
        <v>1</v>
      </c>
      <c r="D28" s="10">
        <v>0</v>
      </c>
      <c r="E28" s="8"/>
      <c r="F28" s="3">
        <f t="shared" si="0"/>
        <v>0</v>
      </c>
      <c r="G28" s="8"/>
      <c r="H28" s="8" t="s">
        <v>18</v>
      </c>
    </row>
    <row r="29" spans="1:8">
      <c r="A29" s="8"/>
      <c r="B29" s="9">
        <v>0</v>
      </c>
      <c r="C29" s="10">
        <v>1</v>
      </c>
      <c r="D29" s="10">
        <v>0</v>
      </c>
      <c r="E29" s="8"/>
      <c r="F29" s="3">
        <f t="shared" si="0"/>
        <v>0</v>
      </c>
      <c r="G29" s="8"/>
      <c r="H29" s="8" t="s">
        <v>18</v>
      </c>
    </row>
    <row r="30" spans="1:8">
      <c r="A30" s="8"/>
      <c r="B30" s="9">
        <v>0</v>
      </c>
      <c r="C30" s="10">
        <v>1</v>
      </c>
      <c r="D30" s="10">
        <v>0</v>
      </c>
      <c r="E30" s="8"/>
      <c r="F30" s="3">
        <f t="shared" si="0"/>
        <v>0</v>
      </c>
      <c r="G30" s="8"/>
      <c r="H30" s="8" t="s">
        <v>18</v>
      </c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 ht="15">
      <c r="A32" s="17" t="s">
        <v>24</v>
      </c>
      <c r="B32" s="17"/>
      <c r="C32" s="17"/>
      <c r="D32" s="17"/>
      <c r="E32" s="1"/>
      <c r="F32" s="1"/>
      <c r="G32" s="1"/>
      <c r="H32" s="1"/>
    </row>
    <row r="33" spans="1:8" ht="15">
      <c r="A33" s="11" t="s">
        <v>25</v>
      </c>
      <c r="B33" s="3">
        <f>SUM(F11:F30)</f>
        <v>650</v>
      </c>
      <c r="C33" s="1"/>
      <c r="D33" s="16" t="s">
        <v>26</v>
      </c>
      <c r="E33" s="16"/>
      <c r="F33" s="16"/>
      <c r="G33" s="1"/>
      <c r="H33" s="1"/>
    </row>
    <row r="34" spans="1:8" ht="29.25">
      <c r="A34" s="11" t="s">
        <v>5</v>
      </c>
      <c r="B34" s="3">
        <f>B7</f>
        <v>3000</v>
      </c>
      <c r="C34" s="1"/>
      <c r="D34" s="1" t="s">
        <v>27</v>
      </c>
      <c r="E34" s="3">
        <f>B38</f>
        <v>958.125</v>
      </c>
      <c r="F34" s="1"/>
      <c r="G34" s="1"/>
      <c r="H34" s="1"/>
    </row>
    <row r="35" spans="1:8" ht="29.25">
      <c r="A35" s="11" t="s">
        <v>28</v>
      </c>
      <c r="B35" s="3">
        <f>B33+B34</f>
        <v>3650</v>
      </c>
      <c r="C35" s="1"/>
      <c r="D35" s="1" t="s">
        <v>29</v>
      </c>
      <c r="E35" s="12">
        <f>IFERROR(E34/B42,0)</f>
        <v>0.19162499999999999</v>
      </c>
      <c r="F35" s="1"/>
      <c r="G35" s="1"/>
      <c r="H35" s="1"/>
    </row>
    <row r="36" spans="1:8" ht="29.25">
      <c r="A36" s="11" t="s">
        <v>30</v>
      </c>
      <c r="B36" s="3">
        <f>B35*Config!B6</f>
        <v>182.5</v>
      </c>
      <c r="C36" s="1"/>
      <c r="D36" s="1" t="s">
        <v>31</v>
      </c>
      <c r="E36" s="12">
        <f>IFERROR(B42/B5,0)</f>
        <v>2500</v>
      </c>
      <c r="F36" s="1"/>
      <c r="G36" s="1"/>
      <c r="H36" s="1"/>
    </row>
    <row r="37" spans="1:8" ht="29.25">
      <c r="A37" s="11" t="s">
        <v>32</v>
      </c>
      <c r="B37" s="3">
        <f>B35+B36</f>
        <v>3832.5</v>
      </c>
      <c r="C37" s="1"/>
      <c r="D37" s="1" t="s">
        <v>33</v>
      </c>
      <c r="E37" s="12">
        <f>IFERROR(B33/B42,0)</f>
        <v>0.13</v>
      </c>
      <c r="F37" s="1"/>
      <c r="G37" s="1"/>
      <c r="H37" s="1"/>
    </row>
    <row r="38" spans="1:8" ht="29.25">
      <c r="A38" s="11" t="s">
        <v>34</v>
      </c>
      <c r="B38" s="3">
        <f>B37*Config!B5</f>
        <v>958.125</v>
      </c>
      <c r="C38" s="1"/>
      <c r="D38" s="1" t="s">
        <v>35</v>
      </c>
      <c r="E38" s="12">
        <f>IFERROR(B34/B42,0)</f>
        <v>0.6</v>
      </c>
      <c r="F38" s="1"/>
      <c r="G38" s="1"/>
      <c r="H38" s="1"/>
    </row>
    <row r="39" spans="1:8" ht="15">
      <c r="A39" s="11" t="s">
        <v>36</v>
      </c>
      <c r="B39" s="3">
        <f>B37+B38</f>
        <v>4790.625</v>
      </c>
      <c r="C39" s="1"/>
      <c r="D39" s="1"/>
      <c r="E39" s="1"/>
      <c r="F39" s="1"/>
      <c r="G39" s="1"/>
      <c r="H39" s="1"/>
    </row>
    <row r="40" spans="1:8" ht="15">
      <c r="A40" s="11" t="s">
        <v>37</v>
      </c>
      <c r="B40" s="3">
        <f>IF(Config!B7=0,0,B39/(1-Config!B7)-B39)</f>
        <v>0</v>
      </c>
      <c r="C40" s="1"/>
      <c r="D40" s="16" t="s">
        <v>38</v>
      </c>
      <c r="E40" s="16"/>
      <c r="F40" s="16"/>
      <c r="G40" s="16"/>
      <c r="H40" s="16"/>
    </row>
    <row r="41" spans="1:8" ht="15">
      <c r="A41" s="11" t="s">
        <v>39</v>
      </c>
      <c r="B41" s="3">
        <f>B39+B40</f>
        <v>4790.625</v>
      </c>
      <c r="C41" s="1"/>
      <c r="D41" s="18" t="s">
        <v>40</v>
      </c>
      <c r="E41" s="18"/>
      <c r="F41" s="18"/>
      <c r="G41" s="18"/>
      <c r="H41" s="18"/>
    </row>
    <row r="42" spans="1:8" ht="16.5">
      <c r="A42" s="13" t="s">
        <v>41</v>
      </c>
      <c r="B42" s="14">
        <f>ROUNDUP(B41/Config!B8,0)*Config!B8</f>
        <v>5000</v>
      </c>
      <c r="C42" s="1"/>
      <c r="D42" s="18"/>
      <c r="E42" s="18"/>
      <c r="F42" s="18"/>
      <c r="G42" s="18"/>
      <c r="H42" s="18"/>
    </row>
    <row r="43" spans="1:8">
      <c r="A43" s="1"/>
      <c r="B43" s="1"/>
      <c r="C43" s="1"/>
      <c r="D43" s="18"/>
      <c r="E43" s="18"/>
      <c r="F43" s="18"/>
      <c r="G43" s="18"/>
      <c r="H43" s="18"/>
    </row>
    <row r="44" spans="1:8">
      <c r="A44" s="1"/>
      <c r="B44" s="1"/>
      <c r="C44" s="1"/>
      <c r="D44" s="18"/>
      <c r="E44" s="18"/>
      <c r="F44" s="18"/>
      <c r="G44" s="18"/>
      <c r="H44" s="18"/>
    </row>
    <row r="45" spans="1:8">
      <c r="A45" s="1"/>
      <c r="B45" s="1"/>
      <c r="C45" s="1"/>
      <c r="D45" s="18"/>
      <c r="E45" s="18"/>
      <c r="F45" s="18"/>
      <c r="G45" s="18"/>
      <c r="H45" s="18"/>
    </row>
  </sheetData>
  <mergeCells count="6">
    <mergeCell ref="D41:H45"/>
    <mergeCell ref="A1:H1"/>
    <mergeCell ref="A9:H9"/>
    <mergeCell ref="A32:D32"/>
    <mergeCell ref="D33:F33"/>
    <mergeCell ref="D40:H40"/>
  </mergeCells>
  <dataValidations count="1">
    <dataValidation type="list" sqref="H11:H30" xr:uid="{10E50286-17E6-486B-B993-AAA040E65670}">
      <formula1>"Material,Accesorio,Empaque,Otro"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293A-30F0-4D49-9DCE-3F5D26A346E0}">
  <dimension ref="A1:H45"/>
  <sheetViews>
    <sheetView topLeftCell="A28" workbookViewId="0">
      <selection activeCell="D12" sqref="D12"/>
    </sheetView>
  </sheetViews>
  <sheetFormatPr baseColWidth="10" defaultColWidth="9" defaultRowHeight="14.25"/>
  <cols>
    <col min="1" max="1" width="28" customWidth="1"/>
    <col min="2" max="4" width="16" customWidth="1"/>
    <col min="5" max="5" width="12" customWidth="1"/>
    <col min="6" max="6" width="16" customWidth="1"/>
    <col min="7" max="7" width="28" customWidth="1"/>
    <col min="8" max="8" width="14" customWidth="1"/>
  </cols>
  <sheetData>
    <row r="1" spans="1:8" ht="20.25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1"/>
      <c r="B2" s="1"/>
      <c r="C2" s="1"/>
      <c r="D2" s="1"/>
      <c r="E2" s="1"/>
      <c r="F2" s="1"/>
      <c r="G2" s="1"/>
      <c r="H2" s="1"/>
    </row>
    <row r="3" spans="1:8" ht="15">
      <c r="A3" s="2" t="s">
        <v>1</v>
      </c>
      <c r="B3" s="2"/>
      <c r="C3" s="1"/>
      <c r="D3" s="1"/>
      <c r="E3" s="1"/>
      <c r="F3" s="1"/>
      <c r="G3" s="1"/>
      <c r="H3" s="1"/>
    </row>
    <row r="4" spans="1:8">
      <c r="A4" s="1" t="s">
        <v>2</v>
      </c>
      <c r="B4" s="6" t="s">
        <v>61</v>
      </c>
      <c r="C4" s="1"/>
      <c r="D4" s="1"/>
      <c r="E4" s="1"/>
      <c r="F4" s="1"/>
      <c r="G4" s="1"/>
      <c r="H4" s="1"/>
    </row>
    <row r="5" spans="1:8">
      <c r="A5" s="1" t="s">
        <v>3</v>
      </c>
      <c r="B5" s="7">
        <v>1.5</v>
      </c>
      <c r="C5" s="1"/>
      <c r="D5" s="1"/>
      <c r="E5" s="1"/>
      <c r="F5" s="1"/>
      <c r="G5" s="1"/>
      <c r="H5" s="1"/>
    </row>
    <row r="6" spans="1:8">
      <c r="A6" s="1" t="s">
        <v>4</v>
      </c>
      <c r="B6" s="3">
        <f>Config!B4</f>
        <v>1500</v>
      </c>
      <c r="C6" s="1"/>
      <c r="D6" s="1"/>
      <c r="E6" s="1"/>
      <c r="F6" s="1"/>
      <c r="G6" s="1"/>
      <c r="H6" s="1"/>
    </row>
    <row r="7" spans="1:8">
      <c r="A7" s="1" t="s">
        <v>5</v>
      </c>
      <c r="B7" s="3">
        <f>B5*B6</f>
        <v>2250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 ht="15">
      <c r="A9" s="16" t="s">
        <v>6</v>
      </c>
      <c r="B9" s="16"/>
      <c r="C9" s="16"/>
      <c r="D9" s="16"/>
      <c r="E9" s="16"/>
      <c r="F9" s="16"/>
      <c r="G9" s="16"/>
      <c r="H9" s="16"/>
    </row>
    <row r="10" spans="1:8" ht="30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</row>
    <row r="11" spans="1:8">
      <c r="A11" s="8" t="s">
        <v>15</v>
      </c>
      <c r="B11" s="9">
        <v>2600</v>
      </c>
      <c r="C11" s="10">
        <v>100</v>
      </c>
      <c r="D11" s="10">
        <v>17</v>
      </c>
      <c r="E11" s="8" t="s">
        <v>16</v>
      </c>
      <c r="F11" s="3">
        <f t="shared" ref="F11:F30" si="0">IFERROR((B11/C11)*D11,0)</f>
        <v>442</v>
      </c>
      <c r="G11" s="8" t="s">
        <v>17</v>
      </c>
      <c r="H11" s="8" t="s">
        <v>18</v>
      </c>
    </row>
    <row r="12" spans="1:8">
      <c r="A12" s="8" t="s">
        <v>19</v>
      </c>
      <c r="B12" s="9">
        <v>0</v>
      </c>
      <c r="C12" s="10">
        <v>0</v>
      </c>
      <c r="D12" s="10">
        <v>0</v>
      </c>
      <c r="E12" s="8" t="s">
        <v>16</v>
      </c>
      <c r="F12" s="3">
        <f t="shared" si="0"/>
        <v>0</v>
      </c>
      <c r="G12" s="8"/>
      <c r="H12" s="8" t="s">
        <v>18</v>
      </c>
    </row>
    <row r="13" spans="1:8">
      <c r="A13" s="8" t="s">
        <v>20</v>
      </c>
      <c r="B13" s="9">
        <v>0</v>
      </c>
      <c r="C13" s="10">
        <v>1</v>
      </c>
      <c r="D13" s="10">
        <v>0</v>
      </c>
      <c r="E13" s="8" t="s">
        <v>21</v>
      </c>
      <c r="F13" s="3">
        <f t="shared" si="0"/>
        <v>0</v>
      </c>
      <c r="G13" s="8"/>
      <c r="H13" s="8" t="s">
        <v>22</v>
      </c>
    </row>
    <row r="14" spans="1:8">
      <c r="A14" s="8" t="s">
        <v>23</v>
      </c>
      <c r="B14" s="9">
        <v>50</v>
      </c>
      <c r="C14" s="10">
        <v>1</v>
      </c>
      <c r="D14" s="10">
        <v>0</v>
      </c>
      <c r="E14" s="8" t="s">
        <v>21</v>
      </c>
      <c r="F14" s="3">
        <f t="shared" si="0"/>
        <v>0</v>
      </c>
      <c r="G14" s="8"/>
      <c r="H14" s="8" t="s">
        <v>22</v>
      </c>
    </row>
    <row r="15" spans="1:8">
      <c r="A15" s="8" t="s">
        <v>53</v>
      </c>
      <c r="B15" s="9">
        <v>625</v>
      </c>
      <c r="C15" s="10">
        <v>30</v>
      </c>
      <c r="D15" s="10">
        <v>0</v>
      </c>
      <c r="E15" s="8" t="s">
        <v>21</v>
      </c>
      <c r="F15" s="3">
        <f t="shared" si="0"/>
        <v>0</v>
      </c>
      <c r="G15" s="8"/>
      <c r="H15" s="8" t="s">
        <v>18</v>
      </c>
    </row>
    <row r="16" spans="1:8">
      <c r="A16" s="8" t="s">
        <v>55</v>
      </c>
      <c r="B16" s="9">
        <v>250</v>
      </c>
      <c r="C16" s="10">
        <v>5</v>
      </c>
      <c r="D16" s="10">
        <v>0</v>
      </c>
      <c r="E16" s="8"/>
      <c r="F16" s="3">
        <f t="shared" si="0"/>
        <v>0</v>
      </c>
      <c r="G16" s="8"/>
      <c r="H16" s="8" t="s">
        <v>18</v>
      </c>
    </row>
    <row r="17" spans="1:8">
      <c r="A17" s="8" t="s">
        <v>59</v>
      </c>
      <c r="B17" s="9">
        <v>5400</v>
      </c>
      <c r="C17" s="10">
        <v>1000</v>
      </c>
      <c r="D17" s="10">
        <v>6</v>
      </c>
      <c r="E17" s="8" t="s">
        <v>16</v>
      </c>
      <c r="F17" s="3">
        <f t="shared" si="0"/>
        <v>32.400000000000006</v>
      </c>
      <c r="G17" s="8"/>
      <c r="H17" s="8" t="s">
        <v>18</v>
      </c>
    </row>
    <row r="18" spans="1:8">
      <c r="A18" s="8"/>
      <c r="B18" s="9">
        <v>0</v>
      </c>
      <c r="C18" s="10">
        <v>1</v>
      </c>
      <c r="D18" s="10">
        <v>0</v>
      </c>
      <c r="E18" s="8"/>
      <c r="F18" s="3">
        <f t="shared" si="0"/>
        <v>0</v>
      </c>
      <c r="G18" s="8"/>
      <c r="H18" s="8" t="s">
        <v>18</v>
      </c>
    </row>
    <row r="19" spans="1:8">
      <c r="A19" s="8"/>
      <c r="B19" s="9">
        <v>0</v>
      </c>
      <c r="C19" s="10">
        <v>1</v>
      </c>
      <c r="D19" s="10">
        <v>0</v>
      </c>
      <c r="E19" s="8"/>
      <c r="F19" s="3">
        <f t="shared" si="0"/>
        <v>0</v>
      </c>
      <c r="G19" s="8"/>
      <c r="H19" s="8" t="s">
        <v>18</v>
      </c>
    </row>
    <row r="20" spans="1:8">
      <c r="A20" s="8"/>
      <c r="B20" s="9">
        <v>0</v>
      </c>
      <c r="C20" s="10">
        <v>1</v>
      </c>
      <c r="D20" s="10">
        <v>0</v>
      </c>
      <c r="E20" s="8"/>
      <c r="F20" s="3">
        <f t="shared" si="0"/>
        <v>0</v>
      </c>
      <c r="G20" s="8"/>
      <c r="H20" s="8" t="s">
        <v>18</v>
      </c>
    </row>
    <row r="21" spans="1:8">
      <c r="A21" s="8"/>
      <c r="B21" s="9">
        <v>0</v>
      </c>
      <c r="C21" s="10">
        <v>1</v>
      </c>
      <c r="D21" s="10">
        <v>0</v>
      </c>
      <c r="E21" s="8"/>
      <c r="F21" s="3">
        <f t="shared" si="0"/>
        <v>0</v>
      </c>
      <c r="G21" s="8"/>
      <c r="H21" s="8" t="s">
        <v>18</v>
      </c>
    </row>
    <row r="22" spans="1:8">
      <c r="A22" s="8"/>
      <c r="B22" s="9">
        <v>0</v>
      </c>
      <c r="C22" s="10">
        <v>1</v>
      </c>
      <c r="D22" s="10">
        <v>0</v>
      </c>
      <c r="E22" s="8"/>
      <c r="F22" s="3">
        <f t="shared" si="0"/>
        <v>0</v>
      </c>
      <c r="G22" s="8"/>
      <c r="H22" s="8" t="s">
        <v>18</v>
      </c>
    </row>
    <row r="23" spans="1:8">
      <c r="A23" s="8"/>
      <c r="B23" s="9">
        <v>0</v>
      </c>
      <c r="C23" s="10">
        <v>1</v>
      </c>
      <c r="D23" s="10">
        <v>0</v>
      </c>
      <c r="E23" s="8"/>
      <c r="F23" s="3">
        <f t="shared" si="0"/>
        <v>0</v>
      </c>
      <c r="G23" s="8"/>
      <c r="H23" s="8" t="s">
        <v>18</v>
      </c>
    </row>
    <row r="24" spans="1:8">
      <c r="A24" s="8"/>
      <c r="B24" s="9">
        <v>0</v>
      </c>
      <c r="C24" s="10">
        <v>1</v>
      </c>
      <c r="D24" s="10">
        <v>0</v>
      </c>
      <c r="E24" s="8"/>
      <c r="F24" s="3">
        <f t="shared" si="0"/>
        <v>0</v>
      </c>
      <c r="G24" s="8"/>
      <c r="H24" s="8" t="s">
        <v>18</v>
      </c>
    </row>
    <row r="25" spans="1:8">
      <c r="A25" s="8"/>
      <c r="B25" s="9">
        <v>0</v>
      </c>
      <c r="C25" s="10">
        <v>1</v>
      </c>
      <c r="D25" s="10">
        <v>0</v>
      </c>
      <c r="E25" s="8"/>
      <c r="F25" s="3">
        <f t="shared" si="0"/>
        <v>0</v>
      </c>
      <c r="G25" s="8"/>
      <c r="H25" s="8" t="s">
        <v>18</v>
      </c>
    </row>
    <row r="26" spans="1:8">
      <c r="A26" s="8"/>
      <c r="B26" s="9">
        <v>0</v>
      </c>
      <c r="C26" s="10">
        <v>1</v>
      </c>
      <c r="D26" s="10">
        <v>0</v>
      </c>
      <c r="E26" s="8"/>
      <c r="F26" s="3">
        <f t="shared" si="0"/>
        <v>0</v>
      </c>
      <c r="G26" s="8"/>
      <c r="H26" s="8" t="s">
        <v>18</v>
      </c>
    </row>
    <row r="27" spans="1:8">
      <c r="A27" s="8"/>
      <c r="B27" s="9">
        <v>0</v>
      </c>
      <c r="C27" s="10">
        <v>1</v>
      </c>
      <c r="D27" s="10">
        <v>0</v>
      </c>
      <c r="E27" s="8"/>
      <c r="F27" s="3">
        <f t="shared" si="0"/>
        <v>0</v>
      </c>
      <c r="G27" s="8"/>
      <c r="H27" s="8" t="s">
        <v>18</v>
      </c>
    </row>
    <row r="28" spans="1:8">
      <c r="A28" s="8"/>
      <c r="B28" s="9">
        <v>0</v>
      </c>
      <c r="C28" s="10">
        <v>1</v>
      </c>
      <c r="D28" s="10">
        <v>0</v>
      </c>
      <c r="E28" s="8"/>
      <c r="F28" s="3">
        <f t="shared" si="0"/>
        <v>0</v>
      </c>
      <c r="G28" s="8"/>
      <c r="H28" s="8" t="s">
        <v>18</v>
      </c>
    </row>
    <row r="29" spans="1:8">
      <c r="A29" s="8"/>
      <c r="B29" s="9">
        <v>0</v>
      </c>
      <c r="C29" s="10">
        <v>1</v>
      </c>
      <c r="D29" s="10">
        <v>0</v>
      </c>
      <c r="E29" s="8"/>
      <c r="F29" s="3">
        <f t="shared" si="0"/>
        <v>0</v>
      </c>
      <c r="G29" s="8"/>
      <c r="H29" s="8" t="s">
        <v>18</v>
      </c>
    </row>
    <row r="30" spans="1:8">
      <c r="A30" s="8"/>
      <c r="B30" s="9">
        <v>0</v>
      </c>
      <c r="C30" s="10">
        <v>1</v>
      </c>
      <c r="D30" s="10">
        <v>0</v>
      </c>
      <c r="E30" s="8"/>
      <c r="F30" s="3">
        <f t="shared" si="0"/>
        <v>0</v>
      </c>
      <c r="G30" s="8"/>
      <c r="H30" s="8" t="s">
        <v>18</v>
      </c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 ht="15">
      <c r="A32" s="17" t="s">
        <v>24</v>
      </c>
      <c r="B32" s="17"/>
      <c r="C32" s="17"/>
      <c r="D32" s="17"/>
      <c r="E32" s="1"/>
      <c r="F32" s="1"/>
      <c r="G32" s="1"/>
      <c r="H32" s="1"/>
    </row>
    <row r="33" spans="1:8" ht="15">
      <c r="A33" s="11" t="s">
        <v>25</v>
      </c>
      <c r="B33" s="3">
        <f>SUM(F11:F30)</f>
        <v>474.4</v>
      </c>
      <c r="C33" s="1"/>
      <c r="D33" s="16" t="s">
        <v>26</v>
      </c>
      <c r="E33" s="16"/>
      <c r="F33" s="16"/>
      <c r="G33" s="1"/>
      <c r="H33" s="1"/>
    </row>
    <row r="34" spans="1:8" ht="29.25">
      <c r="A34" s="11" t="s">
        <v>5</v>
      </c>
      <c r="B34" s="3">
        <f>B7</f>
        <v>2250</v>
      </c>
      <c r="C34" s="1"/>
      <c r="D34" s="1" t="s">
        <v>27</v>
      </c>
      <c r="E34" s="3">
        <f>B38</f>
        <v>715.15499999999997</v>
      </c>
      <c r="F34" s="1"/>
      <c r="G34" s="1"/>
      <c r="H34" s="1"/>
    </row>
    <row r="35" spans="1:8" ht="29.25">
      <c r="A35" s="11" t="s">
        <v>28</v>
      </c>
      <c r="B35" s="3">
        <f>B33+B34</f>
        <v>2724.4</v>
      </c>
      <c r="C35" s="1"/>
      <c r="D35" s="1" t="s">
        <v>29</v>
      </c>
      <c r="E35" s="12">
        <f>IFERROR(E34/B42,0)</f>
        <v>0.17878875</v>
      </c>
      <c r="F35" s="1"/>
      <c r="G35" s="1"/>
      <c r="H35" s="1"/>
    </row>
    <row r="36" spans="1:8" ht="29.25">
      <c r="A36" s="11" t="s">
        <v>30</v>
      </c>
      <c r="B36" s="3">
        <f>B35*Config!B6</f>
        <v>136.22</v>
      </c>
      <c r="C36" s="1"/>
      <c r="D36" s="1" t="s">
        <v>31</v>
      </c>
      <c r="E36" s="12">
        <f>IFERROR(B42/B5,0)</f>
        <v>2666.6666666666665</v>
      </c>
      <c r="F36" s="1"/>
      <c r="G36" s="1"/>
      <c r="H36" s="1"/>
    </row>
    <row r="37" spans="1:8" ht="29.25">
      <c r="A37" s="11" t="s">
        <v>32</v>
      </c>
      <c r="B37" s="3">
        <f>B35+B36</f>
        <v>2860.62</v>
      </c>
      <c r="C37" s="1"/>
      <c r="D37" s="1" t="s">
        <v>33</v>
      </c>
      <c r="E37" s="12">
        <f>IFERROR(B33/B42,0)</f>
        <v>0.1186</v>
      </c>
      <c r="F37" s="1"/>
      <c r="G37" s="1"/>
      <c r="H37" s="1"/>
    </row>
    <row r="38" spans="1:8" ht="29.25">
      <c r="A38" s="11" t="s">
        <v>34</v>
      </c>
      <c r="B38" s="3">
        <f>B37*Config!B5</f>
        <v>715.15499999999997</v>
      </c>
      <c r="C38" s="1"/>
      <c r="D38" s="1" t="s">
        <v>35</v>
      </c>
      <c r="E38" s="12">
        <f>IFERROR(B34/B42,0)</f>
        <v>0.5625</v>
      </c>
      <c r="F38" s="1"/>
      <c r="G38" s="1"/>
      <c r="H38" s="1"/>
    </row>
    <row r="39" spans="1:8" ht="15">
      <c r="A39" s="11" t="s">
        <v>36</v>
      </c>
      <c r="B39" s="3">
        <f>B37+B38</f>
        <v>3575.7749999999996</v>
      </c>
      <c r="C39" s="1"/>
      <c r="D39" s="1"/>
      <c r="E39" s="1"/>
      <c r="F39" s="1"/>
      <c r="G39" s="1"/>
      <c r="H39" s="1"/>
    </row>
    <row r="40" spans="1:8" ht="15">
      <c r="A40" s="11" t="s">
        <v>37</v>
      </c>
      <c r="B40" s="3">
        <f>IF(Config!B7=0,0,B39/(1-Config!B7)-B39)</f>
        <v>0</v>
      </c>
      <c r="C40" s="1"/>
      <c r="D40" s="16" t="s">
        <v>38</v>
      </c>
      <c r="E40" s="16"/>
      <c r="F40" s="16"/>
      <c r="G40" s="16"/>
      <c r="H40" s="16"/>
    </row>
    <row r="41" spans="1:8" ht="15">
      <c r="A41" s="11" t="s">
        <v>39</v>
      </c>
      <c r="B41" s="3">
        <f>B39+B40</f>
        <v>3575.7749999999996</v>
      </c>
      <c r="C41" s="1"/>
      <c r="D41" s="18" t="s">
        <v>40</v>
      </c>
      <c r="E41" s="18"/>
      <c r="F41" s="18"/>
      <c r="G41" s="18"/>
      <c r="H41" s="18"/>
    </row>
    <row r="42" spans="1:8" ht="16.5">
      <c r="A42" s="13" t="s">
        <v>41</v>
      </c>
      <c r="B42" s="14">
        <f>ROUNDUP(B41/Config!B8,0)*Config!B8</f>
        <v>4000</v>
      </c>
      <c r="C42" s="1"/>
      <c r="D42" s="18"/>
      <c r="E42" s="18"/>
      <c r="F42" s="18"/>
      <c r="G42" s="18"/>
      <c r="H42" s="18"/>
    </row>
    <row r="43" spans="1:8">
      <c r="A43" s="1"/>
      <c r="B43" s="1"/>
      <c r="C43" s="1"/>
      <c r="D43" s="18"/>
      <c r="E43" s="18"/>
      <c r="F43" s="18"/>
      <c r="G43" s="18"/>
      <c r="H43" s="18"/>
    </row>
    <row r="44" spans="1:8">
      <c r="A44" s="1"/>
      <c r="B44" s="1"/>
      <c r="C44" s="1"/>
      <c r="D44" s="18"/>
      <c r="E44" s="18"/>
      <c r="F44" s="18"/>
      <c r="G44" s="18"/>
      <c r="H44" s="18"/>
    </row>
    <row r="45" spans="1:8">
      <c r="A45" s="1"/>
      <c r="B45" s="1"/>
      <c r="C45" s="1"/>
      <c r="D45" s="18"/>
      <c r="E45" s="18"/>
      <c r="F45" s="18"/>
      <c r="G45" s="18"/>
      <c r="H45" s="18"/>
    </row>
  </sheetData>
  <mergeCells count="6">
    <mergeCell ref="D41:H45"/>
    <mergeCell ref="A1:H1"/>
    <mergeCell ref="A9:H9"/>
    <mergeCell ref="A32:D32"/>
    <mergeCell ref="D33:F33"/>
    <mergeCell ref="D40:H40"/>
  </mergeCells>
  <dataValidations count="1">
    <dataValidation type="list" sqref="H11:H30" xr:uid="{CF3CCA20-F6B5-45B2-BACE-0E458D6FBFED}">
      <formula1>"Material,Accesorio,Empaque,Otro"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49FBB-2BA4-4D09-B259-49A8A2D910E9}">
  <dimension ref="A1:H45"/>
  <sheetViews>
    <sheetView topLeftCell="A27" workbookViewId="0">
      <selection activeCell="B6" sqref="B6"/>
    </sheetView>
  </sheetViews>
  <sheetFormatPr baseColWidth="10" defaultColWidth="9" defaultRowHeight="14.25"/>
  <cols>
    <col min="1" max="1" width="28" customWidth="1"/>
    <col min="2" max="4" width="16" customWidth="1"/>
    <col min="5" max="5" width="12" customWidth="1"/>
    <col min="6" max="6" width="16" customWidth="1"/>
    <col min="7" max="7" width="28" customWidth="1"/>
    <col min="8" max="8" width="14" customWidth="1"/>
  </cols>
  <sheetData>
    <row r="1" spans="1:8" ht="20.25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1"/>
      <c r="B2" s="1"/>
      <c r="C2" s="1"/>
      <c r="D2" s="1"/>
      <c r="E2" s="1"/>
      <c r="F2" s="1"/>
      <c r="G2" s="1"/>
      <c r="H2" s="1"/>
    </row>
    <row r="3" spans="1:8" ht="15">
      <c r="A3" s="2" t="s">
        <v>1</v>
      </c>
      <c r="B3" s="2"/>
      <c r="C3" s="1"/>
      <c r="D3" s="1"/>
      <c r="E3" s="1"/>
      <c r="F3" s="1"/>
      <c r="G3" s="1"/>
      <c r="H3" s="1"/>
    </row>
    <row r="4" spans="1:8">
      <c r="A4" s="1" t="s">
        <v>2</v>
      </c>
      <c r="B4" s="6" t="s">
        <v>60</v>
      </c>
      <c r="C4" s="1"/>
      <c r="D4" s="1"/>
      <c r="E4" s="1"/>
      <c r="F4" s="1"/>
      <c r="G4" s="1"/>
      <c r="H4" s="1"/>
    </row>
    <row r="5" spans="1:8">
      <c r="A5" s="1" t="s">
        <v>3</v>
      </c>
      <c r="B5" s="7">
        <v>1.5</v>
      </c>
      <c r="C5" s="1"/>
      <c r="D5" s="1"/>
      <c r="E5" s="1"/>
      <c r="F5" s="1"/>
      <c r="G5" s="1"/>
      <c r="H5" s="1"/>
    </row>
    <row r="6" spans="1:8">
      <c r="A6" s="1" t="s">
        <v>4</v>
      </c>
      <c r="B6" s="3">
        <f>Config!B4</f>
        <v>1500</v>
      </c>
      <c r="C6" s="1"/>
      <c r="D6" s="1"/>
      <c r="E6" s="1"/>
      <c r="F6" s="1"/>
      <c r="G6" s="1"/>
      <c r="H6" s="1"/>
    </row>
    <row r="7" spans="1:8">
      <c r="A7" s="1" t="s">
        <v>5</v>
      </c>
      <c r="B7" s="3">
        <f>B5*B6</f>
        <v>2250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 ht="15">
      <c r="A9" s="16" t="s">
        <v>6</v>
      </c>
      <c r="B9" s="16"/>
      <c r="C9" s="16"/>
      <c r="D9" s="16"/>
      <c r="E9" s="16"/>
      <c r="F9" s="16"/>
      <c r="G9" s="16"/>
      <c r="H9" s="16"/>
    </row>
    <row r="10" spans="1:8" ht="30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</row>
    <row r="11" spans="1:8">
      <c r="A11" s="8" t="s">
        <v>15</v>
      </c>
      <c r="B11" s="9">
        <v>2600</v>
      </c>
      <c r="C11" s="10">
        <v>100</v>
      </c>
      <c r="D11" s="10">
        <v>25</v>
      </c>
      <c r="E11" s="8" t="s">
        <v>16</v>
      </c>
      <c r="F11" s="3">
        <f t="shared" ref="F11:F30" si="0">IFERROR((B11/C11)*D11,0)</f>
        <v>650</v>
      </c>
      <c r="G11" s="8" t="s">
        <v>17</v>
      </c>
      <c r="H11" s="8" t="s">
        <v>18</v>
      </c>
    </row>
    <row r="12" spans="1:8">
      <c r="A12" s="8" t="s">
        <v>19</v>
      </c>
      <c r="B12" s="9">
        <v>0</v>
      </c>
      <c r="C12" s="10">
        <v>0</v>
      </c>
      <c r="D12" s="10">
        <v>0</v>
      </c>
      <c r="E12" s="8" t="s">
        <v>16</v>
      </c>
      <c r="F12" s="3">
        <f t="shared" si="0"/>
        <v>0</v>
      </c>
      <c r="G12" s="8"/>
      <c r="H12" s="8" t="s">
        <v>18</v>
      </c>
    </row>
    <row r="13" spans="1:8">
      <c r="A13" s="8" t="s">
        <v>20</v>
      </c>
      <c r="B13" s="9">
        <v>0</v>
      </c>
      <c r="C13" s="10">
        <v>1</v>
      </c>
      <c r="D13" s="10">
        <v>0</v>
      </c>
      <c r="E13" s="8" t="s">
        <v>21</v>
      </c>
      <c r="F13" s="3">
        <f t="shared" si="0"/>
        <v>0</v>
      </c>
      <c r="G13" s="8"/>
      <c r="H13" s="8" t="s">
        <v>22</v>
      </c>
    </row>
    <row r="14" spans="1:8">
      <c r="A14" s="8" t="s">
        <v>23</v>
      </c>
      <c r="B14" s="9">
        <v>50</v>
      </c>
      <c r="C14" s="10">
        <v>1</v>
      </c>
      <c r="D14" s="10">
        <v>0</v>
      </c>
      <c r="E14" s="8" t="s">
        <v>21</v>
      </c>
      <c r="F14" s="3">
        <f t="shared" si="0"/>
        <v>0</v>
      </c>
      <c r="G14" s="8"/>
      <c r="H14" s="8" t="s">
        <v>22</v>
      </c>
    </row>
    <row r="15" spans="1:8">
      <c r="A15" s="8" t="s">
        <v>53</v>
      </c>
      <c r="B15" s="9">
        <v>625</v>
      </c>
      <c r="C15" s="10">
        <v>30</v>
      </c>
      <c r="D15" s="10">
        <v>0</v>
      </c>
      <c r="E15" s="8" t="s">
        <v>21</v>
      </c>
      <c r="F15" s="3">
        <f t="shared" si="0"/>
        <v>0</v>
      </c>
      <c r="G15" s="8"/>
      <c r="H15" s="8" t="s">
        <v>18</v>
      </c>
    </row>
    <row r="16" spans="1:8">
      <c r="A16" s="8" t="s">
        <v>55</v>
      </c>
      <c r="B16" s="9">
        <v>250</v>
      </c>
      <c r="C16" s="10">
        <v>5</v>
      </c>
      <c r="D16" s="10">
        <v>1</v>
      </c>
      <c r="E16" s="8"/>
      <c r="F16" s="3">
        <f t="shared" si="0"/>
        <v>50</v>
      </c>
      <c r="G16" s="8"/>
      <c r="H16" s="8" t="s">
        <v>18</v>
      </c>
    </row>
    <row r="17" spans="1:8">
      <c r="A17" s="8" t="s">
        <v>59</v>
      </c>
      <c r="B17" s="9">
        <v>5400</v>
      </c>
      <c r="C17" s="10">
        <v>1000</v>
      </c>
      <c r="D17" s="10">
        <v>7</v>
      </c>
      <c r="E17" s="8" t="s">
        <v>16</v>
      </c>
      <c r="F17" s="3">
        <f t="shared" si="0"/>
        <v>37.800000000000004</v>
      </c>
      <c r="G17" s="8"/>
      <c r="H17" s="8" t="s">
        <v>18</v>
      </c>
    </row>
    <row r="18" spans="1:8">
      <c r="A18" s="8"/>
      <c r="B18" s="9">
        <v>0</v>
      </c>
      <c r="C18" s="10">
        <v>1</v>
      </c>
      <c r="D18" s="10">
        <v>0</v>
      </c>
      <c r="E18" s="8"/>
      <c r="F18" s="3">
        <f t="shared" si="0"/>
        <v>0</v>
      </c>
      <c r="G18" s="8"/>
      <c r="H18" s="8" t="s">
        <v>18</v>
      </c>
    </row>
    <row r="19" spans="1:8">
      <c r="A19" s="8"/>
      <c r="B19" s="9">
        <v>0</v>
      </c>
      <c r="C19" s="10">
        <v>1</v>
      </c>
      <c r="D19" s="10">
        <v>0</v>
      </c>
      <c r="E19" s="8"/>
      <c r="F19" s="3">
        <f t="shared" si="0"/>
        <v>0</v>
      </c>
      <c r="G19" s="8"/>
      <c r="H19" s="8" t="s">
        <v>18</v>
      </c>
    </row>
    <row r="20" spans="1:8">
      <c r="A20" s="8"/>
      <c r="B20" s="9">
        <v>0</v>
      </c>
      <c r="C20" s="10">
        <v>1</v>
      </c>
      <c r="D20" s="10">
        <v>0</v>
      </c>
      <c r="E20" s="8"/>
      <c r="F20" s="3">
        <f t="shared" si="0"/>
        <v>0</v>
      </c>
      <c r="G20" s="8"/>
      <c r="H20" s="8" t="s">
        <v>18</v>
      </c>
    </row>
    <row r="21" spans="1:8">
      <c r="A21" s="8"/>
      <c r="B21" s="9">
        <v>0</v>
      </c>
      <c r="C21" s="10">
        <v>1</v>
      </c>
      <c r="D21" s="10">
        <v>0</v>
      </c>
      <c r="E21" s="8"/>
      <c r="F21" s="3">
        <f t="shared" si="0"/>
        <v>0</v>
      </c>
      <c r="G21" s="8"/>
      <c r="H21" s="8" t="s">
        <v>18</v>
      </c>
    </row>
    <row r="22" spans="1:8">
      <c r="A22" s="8"/>
      <c r="B22" s="9">
        <v>0</v>
      </c>
      <c r="C22" s="10">
        <v>1</v>
      </c>
      <c r="D22" s="10">
        <v>0</v>
      </c>
      <c r="E22" s="8"/>
      <c r="F22" s="3">
        <f t="shared" si="0"/>
        <v>0</v>
      </c>
      <c r="G22" s="8"/>
      <c r="H22" s="8" t="s">
        <v>18</v>
      </c>
    </row>
    <row r="23" spans="1:8">
      <c r="A23" s="8"/>
      <c r="B23" s="9">
        <v>0</v>
      </c>
      <c r="C23" s="10">
        <v>1</v>
      </c>
      <c r="D23" s="10">
        <v>0</v>
      </c>
      <c r="E23" s="8"/>
      <c r="F23" s="3">
        <f t="shared" si="0"/>
        <v>0</v>
      </c>
      <c r="G23" s="8"/>
      <c r="H23" s="8" t="s">
        <v>18</v>
      </c>
    </row>
    <row r="24" spans="1:8">
      <c r="A24" s="8"/>
      <c r="B24" s="9">
        <v>0</v>
      </c>
      <c r="C24" s="10">
        <v>1</v>
      </c>
      <c r="D24" s="10">
        <v>0</v>
      </c>
      <c r="E24" s="8"/>
      <c r="F24" s="3">
        <f t="shared" si="0"/>
        <v>0</v>
      </c>
      <c r="G24" s="8"/>
      <c r="H24" s="8" t="s">
        <v>18</v>
      </c>
    </row>
    <row r="25" spans="1:8">
      <c r="A25" s="8"/>
      <c r="B25" s="9">
        <v>0</v>
      </c>
      <c r="C25" s="10">
        <v>1</v>
      </c>
      <c r="D25" s="10">
        <v>0</v>
      </c>
      <c r="E25" s="8"/>
      <c r="F25" s="3">
        <f t="shared" si="0"/>
        <v>0</v>
      </c>
      <c r="G25" s="8"/>
      <c r="H25" s="8" t="s">
        <v>18</v>
      </c>
    </row>
    <row r="26" spans="1:8">
      <c r="A26" s="8"/>
      <c r="B26" s="9">
        <v>0</v>
      </c>
      <c r="C26" s="10">
        <v>1</v>
      </c>
      <c r="D26" s="10">
        <v>0</v>
      </c>
      <c r="E26" s="8"/>
      <c r="F26" s="3">
        <f t="shared" si="0"/>
        <v>0</v>
      </c>
      <c r="G26" s="8"/>
      <c r="H26" s="8" t="s">
        <v>18</v>
      </c>
    </row>
    <row r="27" spans="1:8">
      <c r="A27" s="8"/>
      <c r="B27" s="9">
        <v>0</v>
      </c>
      <c r="C27" s="10">
        <v>1</v>
      </c>
      <c r="D27" s="10">
        <v>0</v>
      </c>
      <c r="E27" s="8"/>
      <c r="F27" s="3">
        <f t="shared" si="0"/>
        <v>0</v>
      </c>
      <c r="G27" s="8"/>
      <c r="H27" s="8" t="s">
        <v>18</v>
      </c>
    </row>
    <row r="28" spans="1:8">
      <c r="A28" s="8"/>
      <c r="B28" s="9">
        <v>0</v>
      </c>
      <c r="C28" s="10">
        <v>1</v>
      </c>
      <c r="D28" s="10">
        <v>0</v>
      </c>
      <c r="E28" s="8"/>
      <c r="F28" s="3">
        <f t="shared" si="0"/>
        <v>0</v>
      </c>
      <c r="G28" s="8"/>
      <c r="H28" s="8" t="s">
        <v>18</v>
      </c>
    </row>
    <row r="29" spans="1:8">
      <c r="A29" s="8"/>
      <c r="B29" s="9">
        <v>0</v>
      </c>
      <c r="C29" s="10">
        <v>1</v>
      </c>
      <c r="D29" s="10">
        <v>0</v>
      </c>
      <c r="E29" s="8"/>
      <c r="F29" s="3">
        <f t="shared" si="0"/>
        <v>0</v>
      </c>
      <c r="G29" s="8"/>
      <c r="H29" s="8" t="s">
        <v>18</v>
      </c>
    </row>
    <row r="30" spans="1:8">
      <c r="A30" s="8"/>
      <c r="B30" s="9">
        <v>0</v>
      </c>
      <c r="C30" s="10">
        <v>1</v>
      </c>
      <c r="D30" s="10">
        <v>0</v>
      </c>
      <c r="E30" s="8"/>
      <c r="F30" s="3">
        <f t="shared" si="0"/>
        <v>0</v>
      </c>
      <c r="G30" s="8"/>
      <c r="H30" s="8" t="s">
        <v>18</v>
      </c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 ht="15">
      <c r="A32" s="17" t="s">
        <v>24</v>
      </c>
      <c r="B32" s="17"/>
      <c r="C32" s="17"/>
      <c r="D32" s="17"/>
      <c r="E32" s="1"/>
      <c r="F32" s="1"/>
      <c r="G32" s="1"/>
      <c r="H32" s="1"/>
    </row>
    <row r="33" spans="1:8" ht="15">
      <c r="A33" s="11" t="s">
        <v>25</v>
      </c>
      <c r="B33" s="3">
        <f>SUM(F11:F30)</f>
        <v>737.8</v>
      </c>
      <c r="C33" s="1"/>
      <c r="D33" s="16" t="s">
        <v>26</v>
      </c>
      <c r="E33" s="16"/>
      <c r="F33" s="16"/>
      <c r="G33" s="1"/>
      <c r="H33" s="1"/>
    </row>
    <row r="34" spans="1:8" ht="29.25">
      <c r="A34" s="11" t="s">
        <v>5</v>
      </c>
      <c r="B34" s="3">
        <f>B7</f>
        <v>2250</v>
      </c>
      <c r="C34" s="1"/>
      <c r="D34" s="1" t="s">
        <v>27</v>
      </c>
      <c r="E34" s="3">
        <f>B38</f>
        <v>784.29750000000001</v>
      </c>
      <c r="F34" s="1"/>
      <c r="G34" s="1"/>
      <c r="H34" s="1"/>
    </row>
    <row r="35" spans="1:8" ht="29.25">
      <c r="A35" s="11" t="s">
        <v>28</v>
      </c>
      <c r="B35" s="3">
        <f>B33+B34</f>
        <v>2987.8</v>
      </c>
      <c r="C35" s="1"/>
      <c r="D35" s="1" t="s">
        <v>29</v>
      </c>
      <c r="E35" s="12">
        <f>IFERROR(E34/B42,0)</f>
        <v>0.196074375</v>
      </c>
      <c r="F35" s="1"/>
      <c r="G35" s="1"/>
      <c r="H35" s="1"/>
    </row>
    <row r="36" spans="1:8" ht="29.25">
      <c r="A36" s="11" t="s">
        <v>30</v>
      </c>
      <c r="B36" s="3">
        <f>B35*Config!B6</f>
        <v>149.39000000000001</v>
      </c>
      <c r="C36" s="1"/>
      <c r="D36" s="1" t="s">
        <v>31</v>
      </c>
      <c r="E36" s="12">
        <f>IFERROR(B42/B5,0)</f>
        <v>2666.6666666666665</v>
      </c>
      <c r="F36" s="1"/>
      <c r="G36" s="1"/>
      <c r="H36" s="1"/>
    </row>
    <row r="37" spans="1:8" ht="29.25">
      <c r="A37" s="11" t="s">
        <v>32</v>
      </c>
      <c r="B37" s="3">
        <f>B35+B36</f>
        <v>3137.19</v>
      </c>
      <c r="C37" s="1"/>
      <c r="D37" s="1" t="s">
        <v>33</v>
      </c>
      <c r="E37" s="12">
        <f>IFERROR(B33/B42,0)</f>
        <v>0.18444999999999998</v>
      </c>
      <c r="F37" s="1"/>
      <c r="G37" s="1"/>
      <c r="H37" s="1"/>
    </row>
    <row r="38" spans="1:8" ht="29.25">
      <c r="A38" s="11" t="s">
        <v>34</v>
      </c>
      <c r="B38" s="3">
        <f>B37*Config!B5</f>
        <v>784.29750000000001</v>
      </c>
      <c r="C38" s="1"/>
      <c r="D38" s="1" t="s">
        <v>35</v>
      </c>
      <c r="E38" s="12">
        <f>IFERROR(B34/B42,0)</f>
        <v>0.5625</v>
      </c>
      <c r="F38" s="1"/>
      <c r="G38" s="1"/>
      <c r="H38" s="1"/>
    </row>
    <row r="39" spans="1:8" ht="15">
      <c r="A39" s="11" t="s">
        <v>36</v>
      </c>
      <c r="B39" s="3">
        <f>B37+B38</f>
        <v>3921.4875000000002</v>
      </c>
      <c r="C39" s="1"/>
      <c r="D39" s="1"/>
      <c r="E39" s="1"/>
      <c r="F39" s="1"/>
      <c r="G39" s="1"/>
      <c r="H39" s="1"/>
    </row>
    <row r="40" spans="1:8" ht="15">
      <c r="A40" s="11" t="s">
        <v>37</v>
      </c>
      <c r="B40" s="3">
        <f>IF(Config!B7=0,0,B39/(1-Config!B7)-B39)</f>
        <v>0</v>
      </c>
      <c r="C40" s="1"/>
      <c r="D40" s="16" t="s">
        <v>38</v>
      </c>
      <c r="E40" s="16"/>
      <c r="F40" s="16"/>
      <c r="G40" s="16"/>
      <c r="H40" s="16"/>
    </row>
    <row r="41" spans="1:8" ht="15">
      <c r="A41" s="11" t="s">
        <v>39</v>
      </c>
      <c r="B41" s="3">
        <f>B39+B40</f>
        <v>3921.4875000000002</v>
      </c>
      <c r="C41" s="1"/>
      <c r="D41" s="18" t="s">
        <v>40</v>
      </c>
      <c r="E41" s="18"/>
      <c r="F41" s="18"/>
      <c r="G41" s="18"/>
      <c r="H41" s="18"/>
    </row>
    <row r="42" spans="1:8" ht="16.5">
      <c r="A42" s="13" t="s">
        <v>41</v>
      </c>
      <c r="B42" s="14">
        <f>ROUNDUP(B41/Config!B8,0)*Config!B8</f>
        <v>4000</v>
      </c>
      <c r="C42" s="1"/>
      <c r="D42" s="18"/>
      <c r="E42" s="18"/>
      <c r="F42" s="18"/>
      <c r="G42" s="18"/>
      <c r="H42" s="18"/>
    </row>
    <row r="43" spans="1:8">
      <c r="A43" s="1"/>
      <c r="B43" s="1"/>
      <c r="C43" s="1"/>
      <c r="D43" s="18"/>
      <c r="E43" s="18"/>
      <c r="F43" s="18"/>
      <c r="G43" s="18"/>
      <c r="H43" s="18"/>
    </row>
    <row r="44" spans="1:8">
      <c r="A44" s="1"/>
      <c r="B44" s="1"/>
      <c r="C44" s="1"/>
      <c r="D44" s="18"/>
      <c r="E44" s="18"/>
      <c r="F44" s="18"/>
      <c r="G44" s="18"/>
      <c r="H44" s="18"/>
    </row>
    <row r="45" spans="1:8">
      <c r="A45" s="1"/>
      <c r="B45" s="1"/>
      <c r="C45" s="1"/>
      <c r="D45" s="18"/>
      <c r="E45" s="18"/>
      <c r="F45" s="18"/>
      <c r="G45" s="18"/>
      <c r="H45" s="18"/>
    </row>
  </sheetData>
  <mergeCells count="6">
    <mergeCell ref="D41:H45"/>
    <mergeCell ref="A1:H1"/>
    <mergeCell ref="A9:H9"/>
    <mergeCell ref="A32:D32"/>
    <mergeCell ref="D33:F33"/>
    <mergeCell ref="D40:H40"/>
  </mergeCells>
  <dataValidations count="1">
    <dataValidation type="list" sqref="H11:H30" xr:uid="{9145BF3C-6D80-44D9-9EE5-D89BF8B5E728}">
      <formula1>"Material,Accesorio,Empaque,Otro"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2186-8C67-4437-9935-121514804BC5}">
  <dimension ref="A1:H45"/>
  <sheetViews>
    <sheetView topLeftCell="A31" workbookViewId="0">
      <selection activeCell="B6" sqref="B6"/>
    </sheetView>
  </sheetViews>
  <sheetFormatPr baseColWidth="10" defaultColWidth="9" defaultRowHeight="14.25"/>
  <cols>
    <col min="1" max="1" width="28" customWidth="1"/>
    <col min="2" max="4" width="16" customWidth="1"/>
    <col min="5" max="5" width="12" customWidth="1"/>
    <col min="6" max="6" width="16" customWidth="1"/>
    <col min="7" max="7" width="28" customWidth="1"/>
    <col min="8" max="8" width="14" customWidth="1"/>
  </cols>
  <sheetData>
    <row r="1" spans="1:8" ht="20.25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1"/>
      <c r="B2" s="1"/>
      <c r="C2" s="1"/>
      <c r="D2" s="1"/>
      <c r="E2" s="1"/>
      <c r="F2" s="1"/>
      <c r="G2" s="1"/>
      <c r="H2" s="1"/>
    </row>
    <row r="3" spans="1:8" ht="15">
      <c r="A3" s="2" t="s">
        <v>1</v>
      </c>
      <c r="B3" s="2"/>
      <c r="C3" s="1"/>
      <c r="D3" s="1"/>
      <c r="E3" s="1"/>
      <c r="F3" s="1"/>
      <c r="G3" s="1"/>
      <c r="H3" s="1"/>
    </row>
    <row r="4" spans="1:8">
      <c r="A4" s="1" t="s">
        <v>2</v>
      </c>
      <c r="B4" s="6" t="s">
        <v>58</v>
      </c>
      <c r="C4" s="1"/>
      <c r="D4" s="1"/>
      <c r="E4" s="1"/>
      <c r="F4" s="1"/>
      <c r="G4" s="1"/>
      <c r="H4" s="1"/>
    </row>
    <row r="5" spans="1:8">
      <c r="A5" s="1" t="s">
        <v>3</v>
      </c>
      <c r="B5" s="7">
        <v>1</v>
      </c>
      <c r="C5" s="1"/>
      <c r="D5" s="1"/>
      <c r="E5" s="1"/>
      <c r="F5" s="1"/>
      <c r="G5" s="1"/>
      <c r="H5" s="1"/>
    </row>
    <row r="6" spans="1:8">
      <c r="A6" s="1" t="s">
        <v>4</v>
      </c>
      <c r="B6" s="3">
        <f>Config!B4</f>
        <v>1500</v>
      </c>
      <c r="C6" s="1"/>
      <c r="D6" s="1"/>
      <c r="E6" s="1"/>
      <c r="F6" s="1"/>
      <c r="G6" s="1"/>
      <c r="H6" s="1"/>
    </row>
    <row r="7" spans="1:8">
      <c r="A7" s="1" t="s">
        <v>5</v>
      </c>
      <c r="B7" s="3">
        <f>B5*B6</f>
        <v>1500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 ht="15">
      <c r="A9" s="16" t="s">
        <v>6</v>
      </c>
      <c r="B9" s="16"/>
      <c r="C9" s="16"/>
      <c r="D9" s="16"/>
      <c r="E9" s="16"/>
      <c r="F9" s="16"/>
      <c r="G9" s="16"/>
      <c r="H9" s="16"/>
    </row>
    <row r="10" spans="1:8" ht="30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</row>
    <row r="11" spans="1:8">
      <c r="A11" s="8" t="s">
        <v>15</v>
      </c>
      <c r="B11" s="9">
        <v>2600</v>
      </c>
      <c r="C11" s="10">
        <v>100</v>
      </c>
      <c r="D11" s="10">
        <v>9</v>
      </c>
      <c r="E11" s="8" t="s">
        <v>16</v>
      </c>
      <c r="F11" s="3">
        <f t="shared" ref="F11:F30" si="0">IFERROR((B11/C11)*D11,0)</f>
        <v>234</v>
      </c>
      <c r="G11" s="8" t="s">
        <v>17</v>
      </c>
      <c r="H11" s="8" t="s">
        <v>18</v>
      </c>
    </row>
    <row r="12" spans="1:8">
      <c r="A12" s="8" t="s">
        <v>19</v>
      </c>
      <c r="B12" s="9">
        <v>0</v>
      </c>
      <c r="C12" s="10">
        <v>0</v>
      </c>
      <c r="D12" s="10">
        <v>0</v>
      </c>
      <c r="E12" s="8" t="s">
        <v>16</v>
      </c>
      <c r="F12" s="3">
        <f t="shared" si="0"/>
        <v>0</v>
      </c>
      <c r="G12" s="8"/>
      <c r="H12" s="8" t="s">
        <v>18</v>
      </c>
    </row>
    <row r="13" spans="1:8">
      <c r="A13" s="8" t="s">
        <v>20</v>
      </c>
      <c r="B13" s="9">
        <v>0</v>
      </c>
      <c r="C13" s="10">
        <v>1</v>
      </c>
      <c r="D13" s="10">
        <v>0</v>
      </c>
      <c r="E13" s="8" t="s">
        <v>21</v>
      </c>
      <c r="F13" s="3">
        <f t="shared" si="0"/>
        <v>0</v>
      </c>
      <c r="G13" s="8"/>
      <c r="H13" s="8" t="s">
        <v>22</v>
      </c>
    </row>
    <row r="14" spans="1:8">
      <c r="A14" s="8" t="s">
        <v>23</v>
      </c>
      <c r="B14" s="9">
        <v>50</v>
      </c>
      <c r="C14" s="10">
        <v>1</v>
      </c>
      <c r="D14" s="10">
        <v>1</v>
      </c>
      <c r="E14" s="8" t="s">
        <v>21</v>
      </c>
      <c r="F14" s="3">
        <f t="shared" si="0"/>
        <v>50</v>
      </c>
      <c r="G14" s="8"/>
      <c r="H14" s="8" t="s">
        <v>22</v>
      </c>
    </row>
    <row r="15" spans="1:8">
      <c r="A15" s="8" t="s">
        <v>53</v>
      </c>
      <c r="B15" s="9">
        <v>625</v>
      </c>
      <c r="C15" s="10">
        <v>30</v>
      </c>
      <c r="D15" s="10">
        <v>0</v>
      </c>
      <c r="E15" s="8" t="s">
        <v>21</v>
      </c>
      <c r="F15" s="3">
        <f t="shared" si="0"/>
        <v>0</v>
      </c>
      <c r="G15" s="8"/>
      <c r="H15" s="8" t="s">
        <v>18</v>
      </c>
    </row>
    <row r="16" spans="1:8">
      <c r="A16" s="8" t="s">
        <v>55</v>
      </c>
      <c r="B16" s="9">
        <v>250</v>
      </c>
      <c r="C16" s="10">
        <v>5</v>
      </c>
      <c r="D16" s="10">
        <v>1</v>
      </c>
      <c r="E16" s="8"/>
      <c r="F16" s="3">
        <f t="shared" si="0"/>
        <v>50</v>
      </c>
      <c r="G16" s="8"/>
      <c r="H16" s="8" t="s">
        <v>18</v>
      </c>
    </row>
    <row r="17" spans="1:8">
      <c r="A17" s="8" t="s">
        <v>59</v>
      </c>
      <c r="B17" s="9">
        <v>5400</v>
      </c>
      <c r="C17" s="10">
        <v>1000</v>
      </c>
      <c r="D17" s="10">
        <v>4</v>
      </c>
      <c r="E17" s="8" t="s">
        <v>16</v>
      </c>
      <c r="F17" s="3">
        <f t="shared" si="0"/>
        <v>21.6</v>
      </c>
      <c r="G17" s="8"/>
      <c r="H17" s="8" t="s">
        <v>18</v>
      </c>
    </row>
    <row r="18" spans="1:8">
      <c r="A18" s="8"/>
      <c r="B18" s="9">
        <v>0</v>
      </c>
      <c r="C18" s="10">
        <v>1</v>
      </c>
      <c r="D18" s="10">
        <v>0</v>
      </c>
      <c r="E18" s="8"/>
      <c r="F18" s="3">
        <f t="shared" si="0"/>
        <v>0</v>
      </c>
      <c r="G18" s="8"/>
      <c r="H18" s="8" t="s">
        <v>18</v>
      </c>
    </row>
    <row r="19" spans="1:8">
      <c r="A19" s="8"/>
      <c r="B19" s="9">
        <v>0</v>
      </c>
      <c r="C19" s="10">
        <v>1</v>
      </c>
      <c r="D19" s="10">
        <v>0</v>
      </c>
      <c r="E19" s="8"/>
      <c r="F19" s="3">
        <f t="shared" si="0"/>
        <v>0</v>
      </c>
      <c r="G19" s="8"/>
      <c r="H19" s="8" t="s">
        <v>18</v>
      </c>
    </row>
    <row r="20" spans="1:8">
      <c r="A20" s="8"/>
      <c r="B20" s="9">
        <v>0</v>
      </c>
      <c r="C20" s="10">
        <v>1</v>
      </c>
      <c r="D20" s="10">
        <v>0</v>
      </c>
      <c r="E20" s="8"/>
      <c r="F20" s="3">
        <f t="shared" si="0"/>
        <v>0</v>
      </c>
      <c r="G20" s="8"/>
      <c r="H20" s="8" t="s">
        <v>18</v>
      </c>
    </row>
    <row r="21" spans="1:8">
      <c r="A21" s="8"/>
      <c r="B21" s="9">
        <v>0</v>
      </c>
      <c r="C21" s="10">
        <v>1</v>
      </c>
      <c r="D21" s="10">
        <v>0</v>
      </c>
      <c r="E21" s="8"/>
      <c r="F21" s="3">
        <f t="shared" si="0"/>
        <v>0</v>
      </c>
      <c r="G21" s="8"/>
      <c r="H21" s="8" t="s">
        <v>18</v>
      </c>
    </row>
    <row r="22" spans="1:8">
      <c r="A22" s="8"/>
      <c r="B22" s="9">
        <v>0</v>
      </c>
      <c r="C22" s="10">
        <v>1</v>
      </c>
      <c r="D22" s="10">
        <v>0</v>
      </c>
      <c r="E22" s="8"/>
      <c r="F22" s="3">
        <f t="shared" si="0"/>
        <v>0</v>
      </c>
      <c r="G22" s="8"/>
      <c r="H22" s="8" t="s">
        <v>18</v>
      </c>
    </row>
    <row r="23" spans="1:8">
      <c r="A23" s="8"/>
      <c r="B23" s="9">
        <v>0</v>
      </c>
      <c r="C23" s="10">
        <v>1</v>
      </c>
      <c r="D23" s="10">
        <v>0</v>
      </c>
      <c r="E23" s="8"/>
      <c r="F23" s="3">
        <f t="shared" si="0"/>
        <v>0</v>
      </c>
      <c r="G23" s="8"/>
      <c r="H23" s="8" t="s">
        <v>18</v>
      </c>
    </row>
    <row r="24" spans="1:8">
      <c r="A24" s="8"/>
      <c r="B24" s="9">
        <v>0</v>
      </c>
      <c r="C24" s="10">
        <v>1</v>
      </c>
      <c r="D24" s="10">
        <v>0</v>
      </c>
      <c r="E24" s="8"/>
      <c r="F24" s="3">
        <f t="shared" si="0"/>
        <v>0</v>
      </c>
      <c r="G24" s="8"/>
      <c r="H24" s="8" t="s">
        <v>18</v>
      </c>
    </row>
    <row r="25" spans="1:8">
      <c r="A25" s="8"/>
      <c r="B25" s="9">
        <v>0</v>
      </c>
      <c r="C25" s="10">
        <v>1</v>
      </c>
      <c r="D25" s="10">
        <v>0</v>
      </c>
      <c r="E25" s="8"/>
      <c r="F25" s="3">
        <f t="shared" si="0"/>
        <v>0</v>
      </c>
      <c r="G25" s="8"/>
      <c r="H25" s="8" t="s">
        <v>18</v>
      </c>
    </row>
    <row r="26" spans="1:8">
      <c r="A26" s="8"/>
      <c r="B26" s="9">
        <v>0</v>
      </c>
      <c r="C26" s="10">
        <v>1</v>
      </c>
      <c r="D26" s="10">
        <v>0</v>
      </c>
      <c r="E26" s="8"/>
      <c r="F26" s="3">
        <f t="shared" si="0"/>
        <v>0</v>
      </c>
      <c r="G26" s="8"/>
      <c r="H26" s="8" t="s">
        <v>18</v>
      </c>
    </row>
    <row r="27" spans="1:8">
      <c r="A27" s="8"/>
      <c r="B27" s="9">
        <v>0</v>
      </c>
      <c r="C27" s="10">
        <v>1</v>
      </c>
      <c r="D27" s="10">
        <v>0</v>
      </c>
      <c r="E27" s="8"/>
      <c r="F27" s="3">
        <f t="shared" si="0"/>
        <v>0</v>
      </c>
      <c r="G27" s="8"/>
      <c r="H27" s="8" t="s">
        <v>18</v>
      </c>
    </row>
    <row r="28" spans="1:8">
      <c r="A28" s="8"/>
      <c r="B28" s="9">
        <v>0</v>
      </c>
      <c r="C28" s="10">
        <v>1</v>
      </c>
      <c r="D28" s="10">
        <v>0</v>
      </c>
      <c r="E28" s="8"/>
      <c r="F28" s="3">
        <f t="shared" si="0"/>
        <v>0</v>
      </c>
      <c r="G28" s="8"/>
      <c r="H28" s="8" t="s">
        <v>18</v>
      </c>
    </row>
    <row r="29" spans="1:8">
      <c r="A29" s="8"/>
      <c r="B29" s="9">
        <v>0</v>
      </c>
      <c r="C29" s="10">
        <v>1</v>
      </c>
      <c r="D29" s="10">
        <v>0</v>
      </c>
      <c r="E29" s="8"/>
      <c r="F29" s="3">
        <f t="shared" si="0"/>
        <v>0</v>
      </c>
      <c r="G29" s="8"/>
      <c r="H29" s="8" t="s">
        <v>18</v>
      </c>
    </row>
    <row r="30" spans="1:8">
      <c r="A30" s="8"/>
      <c r="B30" s="9">
        <v>0</v>
      </c>
      <c r="C30" s="10">
        <v>1</v>
      </c>
      <c r="D30" s="10">
        <v>0</v>
      </c>
      <c r="E30" s="8"/>
      <c r="F30" s="3">
        <f t="shared" si="0"/>
        <v>0</v>
      </c>
      <c r="G30" s="8"/>
      <c r="H30" s="8" t="s">
        <v>18</v>
      </c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 ht="15">
      <c r="A32" s="17" t="s">
        <v>24</v>
      </c>
      <c r="B32" s="17"/>
      <c r="C32" s="17"/>
      <c r="D32" s="17"/>
      <c r="E32" s="1"/>
      <c r="F32" s="1"/>
      <c r="G32" s="1"/>
      <c r="H32" s="1"/>
    </row>
    <row r="33" spans="1:8" ht="15">
      <c r="A33" s="11" t="s">
        <v>25</v>
      </c>
      <c r="B33" s="3">
        <f>SUM(F11:F30)</f>
        <v>355.6</v>
      </c>
      <c r="C33" s="1"/>
      <c r="D33" s="16" t="s">
        <v>26</v>
      </c>
      <c r="E33" s="16"/>
      <c r="F33" s="16"/>
      <c r="G33" s="1"/>
      <c r="H33" s="1"/>
    </row>
    <row r="34" spans="1:8" ht="29.25">
      <c r="A34" s="11" t="s">
        <v>5</v>
      </c>
      <c r="B34" s="3">
        <f>B7</f>
        <v>1500</v>
      </c>
      <c r="C34" s="1"/>
      <c r="D34" s="1" t="s">
        <v>27</v>
      </c>
      <c r="E34" s="3">
        <f>B38</f>
        <v>487.09499999999997</v>
      </c>
      <c r="F34" s="1"/>
      <c r="G34" s="1"/>
      <c r="H34" s="1"/>
    </row>
    <row r="35" spans="1:8" ht="29.25">
      <c r="A35" s="11" t="s">
        <v>28</v>
      </c>
      <c r="B35" s="3">
        <f>B33+B34</f>
        <v>1855.6</v>
      </c>
      <c r="C35" s="1"/>
      <c r="D35" s="1" t="s">
        <v>29</v>
      </c>
      <c r="E35" s="12">
        <f>IFERROR(E34/B42,0)</f>
        <v>0.19483799999999998</v>
      </c>
      <c r="F35" s="1"/>
      <c r="G35" s="1"/>
      <c r="H35" s="1"/>
    </row>
    <row r="36" spans="1:8" ht="29.25">
      <c r="A36" s="11" t="s">
        <v>30</v>
      </c>
      <c r="B36" s="3">
        <f>B35*Config!B6</f>
        <v>92.78</v>
      </c>
      <c r="C36" s="1"/>
      <c r="D36" s="1" t="s">
        <v>31</v>
      </c>
      <c r="E36" s="12">
        <f>IFERROR(B42/B5,0)</f>
        <v>2500</v>
      </c>
      <c r="F36" s="1"/>
      <c r="G36" s="1"/>
      <c r="H36" s="1"/>
    </row>
    <row r="37" spans="1:8" ht="29.25">
      <c r="A37" s="11" t="s">
        <v>32</v>
      </c>
      <c r="B37" s="3">
        <f>B35+B36</f>
        <v>1948.3799999999999</v>
      </c>
      <c r="C37" s="1"/>
      <c r="D37" s="1" t="s">
        <v>33</v>
      </c>
      <c r="E37" s="12">
        <f>IFERROR(B33/B42,0)</f>
        <v>0.14224000000000001</v>
      </c>
      <c r="F37" s="1"/>
      <c r="G37" s="1"/>
      <c r="H37" s="1"/>
    </row>
    <row r="38" spans="1:8" ht="29.25">
      <c r="A38" s="11" t="s">
        <v>34</v>
      </c>
      <c r="B38" s="3">
        <f>B37*Config!B5</f>
        <v>487.09499999999997</v>
      </c>
      <c r="C38" s="1"/>
      <c r="D38" s="1" t="s">
        <v>35</v>
      </c>
      <c r="E38" s="12">
        <f>IFERROR(B34/B42,0)</f>
        <v>0.6</v>
      </c>
      <c r="F38" s="1"/>
      <c r="G38" s="1"/>
      <c r="H38" s="1"/>
    </row>
    <row r="39" spans="1:8" ht="15">
      <c r="A39" s="11" t="s">
        <v>36</v>
      </c>
      <c r="B39" s="3">
        <f>B37+B38</f>
        <v>2435.4749999999999</v>
      </c>
      <c r="C39" s="1"/>
      <c r="D39" s="1"/>
      <c r="E39" s="1"/>
      <c r="F39" s="1"/>
      <c r="G39" s="1"/>
      <c r="H39" s="1"/>
    </row>
    <row r="40" spans="1:8" ht="15">
      <c r="A40" s="11" t="s">
        <v>37</v>
      </c>
      <c r="B40" s="3">
        <f>IF(Config!B7=0,0,B39/(1-Config!B7)-B39)</f>
        <v>0</v>
      </c>
      <c r="C40" s="1"/>
      <c r="D40" s="16" t="s">
        <v>38</v>
      </c>
      <c r="E40" s="16"/>
      <c r="F40" s="16"/>
      <c r="G40" s="16"/>
      <c r="H40" s="16"/>
    </row>
    <row r="41" spans="1:8" ht="15">
      <c r="A41" s="11" t="s">
        <v>39</v>
      </c>
      <c r="B41" s="3">
        <f>B39+B40</f>
        <v>2435.4749999999999</v>
      </c>
      <c r="C41" s="1"/>
      <c r="D41" s="18" t="s">
        <v>40</v>
      </c>
      <c r="E41" s="18"/>
      <c r="F41" s="18"/>
      <c r="G41" s="18"/>
      <c r="H41" s="18"/>
    </row>
    <row r="42" spans="1:8" ht="16.5">
      <c r="A42" s="13" t="s">
        <v>41</v>
      </c>
      <c r="B42" s="14">
        <f>ROUNDUP(B41/Config!B8,0)*Config!B8</f>
        <v>2500</v>
      </c>
      <c r="C42" s="1"/>
      <c r="D42" s="18"/>
      <c r="E42" s="18"/>
      <c r="F42" s="18"/>
      <c r="G42" s="18"/>
      <c r="H42" s="18"/>
    </row>
    <row r="43" spans="1:8">
      <c r="A43" s="1"/>
      <c r="B43" s="1"/>
      <c r="C43" s="1"/>
      <c r="D43" s="18"/>
      <c r="E43" s="18"/>
      <c r="F43" s="18"/>
      <c r="G43" s="18"/>
      <c r="H43" s="18"/>
    </row>
    <row r="44" spans="1:8">
      <c r="A44" s="1"/>
      <c r="B44" s="1"/>
      <c r="C44" s="1"/>
      <c r="D44" s="18"/>
      <c r="E44" s="18"/>
      <c r="F44" s="18"/>
      <c r="G44" s="18"/>
      <c r="H44" s="18"/>
    </row>
    <row r="45" spans="1:8">
      <c r="A45" s="1"/>
      <c r="B45" s="1"/>
      <c r="C45" s="1"/>
      <c r="D45" s="18"/>
      <c r="E45" s="18"/>
      <c r="F45" s="18"/>
      <c r="G45" s="18"/>
      <c r="H45" s="18"/>
    </row>
  </sheetData>
  <mergeCells count="6">
    <mergeCell ref="D41:H45"/>
    <mergeCell ref="A1:H1"/>
    <mergeCell ref="A9:H9"/>
    <mergeCell ref="A32:D32"/>
    <mergeCell ref="D33:F33"/>
    <mergeCell ref="D40:H40"/>
  </mergeCells>
  <dataValidations count="1">
    <dataValidation type="list" sqref="H11:H30" xr:uid="{6CF65456-2C26-4890-A50A-6BFAB3248529}">
      <formula1>"Material,Accesorio,Empaque,Otro"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6CD8-DA03-47FD-B8D2-6FD58D344D00}">
  <dimension ref="A1:H45"/>
  <sheetViews>
    <sheetView topLeftCell="A8" workbookViewId="0">
      <selection activeCell="D12" sqref="D12"/>
    </sheetView>
  </sheetViews>
  <sheetFormatPr baseColWidth="10" defaultColWidth="9" defaultRowHeight="14.25"/>
  <cols>
    <col min="1" max="1" width="28" customWidth="1"/>
    <col min="2" max="4" width="16" customWidth="1"/>
    <col min="5" max="5" width="12" customWidth="1"/>
    <col min="6" max="6" width="16" customWidth="1"/>
    <col min="7" max="7" width="28" customWidth="1"/>
    <col min="8" max="8" width="14" customWidth="1"/>
  </cols>
  <sheetData>
    <row r="1" spans="1:8" ht="20.25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1"/>
      <c r="B2" s="1"/>
      <c r="C2" s="1"/>
      <c r="D2" s="1"/>
      <c r="E2" s="1"/>
      <c r="F2" s="1"/>
      <c r="G2" s="1"/>
      <c r="H2" s="1"/>
    </row>
    <row r="3" spans="1:8" ht="15">
      <c r="A3" s="2" t="s">
        <v>1</v>
      </c>
      <c r="B3" s="2"/>
      <c r="C3" s="1"/>
      <c r="D3" s="1"/>
      <c r="E3" s="1"/>
      <c r="F3" s="1"/>
      <c r="G3" s="1"/>
      <c r="H3" s="1"/>
    </row>
    <row r="4" spans="1:8">
      <c r="A4" s="1" t="s">
        <v>2</v>
      </c>
      <c r="B4" s="6" t="s">
        <v>57</v>
      </c>
      <c r="C4" s="1"/>
      <c r="D4" s="1"/>
      <c r="E4" s="1"/>
      <c r="F4" s="1"/>
      <c r="G4" s="1"/>
      <c r="H4" s="1"/>
    </row>
    <row r="5" spans="1:8">
      <c r="A5" s="1" t="s">
        <v>3</v>
      </c>
      <c r="B5" s="7">
        <v>3.5</v>
      </c>
      <c r="C5" s="1"/>
      <c r="D5" s="1"/>
      <c r="E5" s="1"/>
      <c r="F5" s="1"/>
      <c r="G5" s="1"/>
      <c r="H5" s="1"/>
    </row>
    <row r="6" spans="1:8">
      <c r="A6" s="1" t="s">
        <v>4</v>
      </c>
      <c r="B6" s="3">
        <f>Config!B4</f>
        <v>1500</v>
      </c>
      <c r="C6" s="1"/>
      <c r="D6" s="1"/>
      <c r="E6" s="1"/>
      <c r="F6" s="1"/>
      <c r="G6" s="1"/>
      <c r="H6" s="1"/>
    </row>
    <row r="7" spans="1:8">
      <c r="A7" s="1" t="s">
        <v>5</v>
      </c>
      <c r="B7" s="3">
        <f>B5*B6</f>
        <v>5250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 ht="15">
      <c r="A9" s="16" t="s">
        <v>6</v>
      </c>
      <c r="B9" s="16"/>
      <c r="C9" s="16"/>
      <c r="D9" s="16"/>
      <c r="E9" s="16"/>
      <c r="F9" s="16"/>
      <c r="G9" s="16"/>
      <c r="H9" s="16"/>
    </row>
    <row r="10" spans="1:8" ht="30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</row>
    <row r="11" spans="1:8">
      <c r="A11" s="8" t="s">
        <v>15</v>
      </c>
      <c r="B11" s="9">
        <v>2600</v>
      </c>
      <c r="C11" s="10">
        <v>100</v>
      </c>
      <c r="D11" s="10">
        <v>25</v>
      </c>
      <c r="E11" s="8" t="s">
        <v>16</v>
      </c>
      <c r="F11" s="3">
        <f t="shared" ref="F11:F30" si="0">IFERROR((B11/C11)*D11,0)</f>
        <v>650</v>
      </c>
      <c r="G11" s="8" t="s">
        <v>17</v>
      </c>
      <c r="H11" s="8" t="s">
        <v>18</v>
      </c>
    </row>
    <row r="12" spans="1:8">
      <c r="A12" s="8" t="s">
        <v>19</v>
      </c>
      <c r="B12" s="9">
        <v>0</v>
      </c>
      <c r="C12" s="10">
        <v>0</v>
      </c>
      <c r="D12" s="10">
        <v>0</v>
      </c>
      <c r="E12" s="8" t="s">
        <v>16</v>
      </c>
      <c r="F12" s="3">
        <f t="shared" si="0"/>
        <v>0</v>
      </c>
      <c r="G12" s="8"/>
      <c r="H12" s="8" t="s">
        <v>18</v>
      </c>
    </row>
    <row r="13" spans="1:8">
      <c r="A13" s="8" t="s">
        <v>20</v>
      </c>
      <c r="B13" s="9">
        <v>0</v>
      </c>
      <c r="C13" s="10">
        <v>1</v>
      </c>
      <c r="D13" s="10">
        <v>0</v>
      </c>
      <c r="E13" s="8" t="s">
        <v>21</v>
      </c>
      <c r="F13" s="3">
        <f t="shared" si="0"/>
        <v>0</v>
      </c>
      <c r="G13" s="8"/>
      <c r="H13" s="8" t="s">
        <v>22</v>
      </c>
    </row>
    <row r="14" spans="1:8">
      <c r="A14" s="8" t="s">
        <v>23</v>
      </c>
      <c r="B14" s="9">
        <v>0</v>
      </c>
      <c r="C14" s="10">
        <v>1</v>
      </c>
      <c r="D14" s="10">
        <v>0</v>
      </c>
      <c r="E14" s="8" t="s">
        <v>21</v>
      </c>
      <c r="F14" s="3">
        <f t="shared" si="0"/>
        <v>0</v>
      </c>
      <c r="G14" s="8"/>
      <c r="H14" s="8" t="s">
        <v>22</v>
      </c>
    </row>
    <row r="15" spans="1:8">
      <c r="A15" s="8" t="s">
        <v>53</v>
      </c>
      <c r="B15" s="9">
        <v>625</v>
      </c>
      <c r="C15" s="10">
        <v>30</v>
      </c>
      <c r="D15" s="10">
        <v>2</v>
      </c>
      <c r="E15" s="8" t="s">
        <v>21</v>
      </c>
      <c r="F15" s="3">
        <f t="shared" si="0"/>
        <v>41.666666666666664</v>
      </c>
      <c r="G15" s="8"/>
      <c r="H15" s="8" t="s">
        <v>18</v>
      </c>
    </row>
    <row r="16" spans="1:8">
      <c r="A16" s="8" t="s">
        <v>55</v>
      </c>
      <c r="B16" s="9">
        <v>250</v>
      </c>
      <c r="C16" s="10">
        <v>5</v>
      </c>
      <c r="D16" s="10">
        <v>1</v>
      </c>
      <c r="E16" s="8"/>
      <c r="F16" s="3">
        <f t="shared" si="0"/>
        <v>50</v>
      </c>
      <c r="G16" s="8"/>
      <c r="H16" s="8" t="s">
        <v>18</v>
      </c>
    </row>
    <row r="17" spans="1:8">
      <c r="A17" s="8"/>
      <c r="B17" s="9">
        <v>0</v>
      </c>
      <c r="C17" s="10">
        <v>1</v>
      </c>
      <c r="D17" s="10">
        <v>0</v>
      </c>
      <c r="E17" s="8"/>
      <c r="F17" s="3">
        <f t="shared" si="0"/>
        <v>0</v>
      </c>
      <c r="G17" s="8"/>
      <c r="H17" s="8" t="s">
        <v>18</v>
      </c>
    </row>
    <row r="18" spans="1:8">
      <c r="A18" s="8"/>
      <c r="B18" s="9">
        <v>0</v>
      </c>
      <c r="C18" s="10">
        <v>1</v>
      </c>
      <c r="D18" s="10">
        <v>0</v>
      </c>
      <c r="E18" s="8"/>
      <c r="F18" s="3">
        <f t="shared" si="0"/>
        <v>0</v>
      </c>
      <c r="G18" s="8"/>
      <c r="H18" s="8" t="s">
        <v>18</v>
      </c>
    </row>
    <row r="19" spans="1:8">
      <c r="A19" s="8"/>
      <c r="B19" s="9">
        <v>0</v>
      </c>
      <c r="C19" s="10">
        <v>1</v>
      </c>
      <c r="D19" s="10">
        <v>0</v>
      </c>
      <c r="E19" s="8"/>
      <c r="F19" s="3">
        <f t="shared" si="0"/>
        <v>0</v>
      </c>
      <c r="G19" s="8"/>
      <c r="H19" s="8" t="s">
        <v>18</v>
      </c>
    </row>
    <row r="20" spans="1:8">
      <c r="A20" s="8"/>
      <c r="B20" s="9">
        <v>0</v>
      </c>
      <c r="C20" s="10">
        <v>1</v>
      </c>
      <c r="D20" s="10">
        <v>0</v>
      </c>
      <c r="E20" s="8"/>
      <c r="F20" s="3">
        <f t="shared" si="0"/>
        <v>0</v>
      </c>
      <c r="G20" s="8"/>
      <c r="H20" s="8" t="s">
        <v>18</v>
      </c>
    </row>
    <row r="21" spans="1:8">
      <c r="A21" s="8"/>
      <c r="B21" s="9">
        <v>0</v>
      </c>
      <c r="C21" s="10">
        <v>1</v>
      </c>
      <c r="D21" s="10">
        <v>0</v>
      </c>
      <c r="E21" s="8"/>
      <c r="F21" s="3">
        <f t="shared" si="0"/>
        <v>0</v>
      </c>
      <c r="G21" s="8"/>
      <c r="H21" s="8" t="s">
        <v>18</v>
      </c>
    </row>
    <row r="22" spans="1:8">
      <c r="A22" s="8"/>
      <c r="B22" s="9">
        <v>0</v>
      </c>
      <c r="C22" s="10">
        <v>1</v>
      </c>
      <c r="D22" s="10">
        <v>0</v>
      </c>
      <c r="E22" s="8"/>
      <c r="F22" s="3">
        <f t="shared" si="0"/>
        <v>0</v>
      </c>
      <c r="G22" s="8"/>
      <c r="H22" s="8" t="s">
        <v>18</v>
      </c>
    </row>
    <row r="23" spans="1:8">
      <c r="A23" s="8"/>
      <c r="B23" s="9">
        <v>0</v>
      </c>
      <c r="C23" s="10">
        <v>1</v>
      </c>
      <c r="D23" s="10">
        <v>0</v>
      </c>
      <c r="E23" s="8"/>
      <c r="F23" s="3">
        <f t="shared" si="0"/>
        <v>0</v>
      </c>
      <c r="G23" s="8"/>
      <c r="H23" s="8" t="s">
        <v>18</v>
      </c>
    </row>
    <row r="24" spans="1:8">
      <c r="A24" s="8"/>
      <c r="B24" s="9">
        <v>0</v>
      </c>
      <c r="C24" s="10">
        <v>1</v>
      </c>
      <c r="D24" s="10">
        <v>0</v>
      </c>
      <c r="E24" s="8"/>
      <c r="F24" s="3">
        <f t="shared" si="0"/>
        <v>0</v>
      </c>
      <c r="G24" s="8"/>
      <c r="H24" s="8" t="s">
        <v>18</v>
      </c>
    </row>
    <row r="25" spans="1:8">
      <c r="A25" s="8"/>
      <c r="B25" s="9">
        <v>0</v>
      </c>
      <c r="C25" s="10">
        <v>1</v>
      </c>
      <c r="D25" s="10">
        <v>0</v>
      </c>
      <c r="E25" s="8"/>
      <c r="F25" s="3">
        <f t="shared" si="0"/>
        <v>0</v>
      </c>
      <c r="G25" s="8"/>
      <c r="H25" s="8" t="s">
        <v>18</v>
      </c>
    </row>
    <row r="26" spans="1:8">
      <c r="A26" s="8"/>
      <c r="B26" s="9">
        <v>0</v>
      </c>
      <c r="C26" s="10">
        <v>1</v>
      </c>
      <c r="D26" s="10">
        <v>0</v>
      </c>
      <c r="E26" s="8"/>
      <c r="F26" s="3">
        <f t="shared" si="0"/>
        <v>0</v>
      </c>
      <c r="G26" s="8"/>
      <c r="H26" s="8" t="s">
        <v>18</v>
      </c>
    </row>
    <row r="27" spans="1:8">
      <c r="A27" s="8"/>
      <c r="B27" s="9">
        <v>0</v>
      </c>
      <c r="C27" s="10">
        <v>1</v>
      </c>
      <c r="D27" s="10">
        <v>0</v>
      </c>
      <c r="E27" s="8"/>
      <c r="F27" s="3">
        <f t="shared" si="0"/>
        <v>0</v>
      </c>
      <c r="G27" s="8"/>
      <c r="H27" s="8" t="s">
        <v>18</v>
      </c>
    </row>
    <row r="28" spans="1:8">
      <c r="A28" s="8"/>
      <c r="B28" s="9">
        <v>0</v>
      </c>
      <c r="C28" s="10">
        <v>1</v>
      </c>
      <c r="D28" s="10">
        <v>0</v>
      </c>
      <c r="E28" s="8"/>
      <c r="F28" s="3">
        <f t="shared" si="0"/>
        <v>0</v>
      </c>
      <c r="G28" s="8"/>
      <c r="H28" s="8" t="s">
        <v>18</v>
      </c>
    </row>
    <row r="29" spans="1:8">
      <c r="A29" s="8"/>
      <c r="B29" s="9">
        <v>0</v>
      </c>
      <c r="C29" s="10">
        <v>1</v>
      </c>
      <c r="D29" s="10">
        <v>0</v>
      </c>
      <c r="E29" s="8"/>
      <c r="F29" s="3">
        <f t="shared" si="0"/>
        <v>0</v>
      </c>
      <c r="G29" s="8"/>
      <c r="H29" s="8" t="s">
        <v>18</v>
      </c>
    </row>
    <row r="30" spans="1:8">
      <c r="A30" s="8"/>
      <c r="B30" s="9">
        <v>0</v>
      </c>
      <c r="C30" s="10">
        <v>1</v>
      </c>
      <c r="D30" s="10">
        <v>0</v>
      </c>
      <c r="E30" s="8"/>
      <c r="F30" s="3">
        <f t="shared" si="0"/>
        <v>0</v>
      </c>
      <c r="G30" s="8"/>
      <c r="H30" s="8" t="s">
        <v>18</v>
      </c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 ht="15">
      <c r="A32" s="17" t="s">
        <v>24</v>
      </c>
      <c r="B32" s="17"/>
      <c r="C32" s="17"/>
      <c r="D32" s="17"/>
      <c r="E32" s="1"/>
      <c r="F32" s="1"/>
      <c r="G32" s="1"/>
      <c r="H32" s="1"/>
    </row>
    <row r="33" spans="1:8" ht="15">
      <c r="A33" s="11" t="s">
        <v>25</v>
      </c>
      <c r="B33" s="3">
        <f>SUM(F11:F30)</f>
        <v>741.66666666666663</v>
      </c>
      <c r="C33" s="1"/>
      <c r="D33" s="16" t="s">
        <v>26</v>
      </c>
      <c r="E33" s="16"/>
      <c r="F33" s="16"/>
      <c r="G33" s="1"/>
      <c r="H33" s="1"/>
    </row>
    <row r="34" spans="1:8" ht="29.25">
      <c r="A34" s="11" t="s">
        <v>5</v>
      </c>
      <c r="B34" s="3">
        <f>B7</f>
        <v>5250</v>
      </c>
      <c r="C34" s="1"/>
      <c r="D34" s="1" t="s">
        <v>27</v>
      </c>
      <c r="E34" s="3">
        <f>B38</f>
        <v>1572.8125</v>
      </c>
      <c r="F34" s="1"/>
      <c r="G34" s="1"/>
      <c r="H34" s="1"/>
    </row>
    <row r="35" spans="1:8" ht="29.25">
      <c r="A35" s="11" t="s">
        <v>28</v>
      </c>
      <c r="B35" s="3">
        <f>B33+B34</f>
        <v>5991.666666666667</v>
      </c>
      <c r="C35" s="1"/>
      <c r="D35" s="1" t="s">
        <v>29</v>
      </c>
      <c r="E35" s="12">
        <f>IFERROR(E34/B42,0)</f>
        <v>0.19660156249999999</v>
      </c>
      <c r="F35" s="1"/>
      <c r="G35" s="1"/>
      <c r="H35" s="1"/>
    </row>
    <row r="36" spans="1:8" ht="29.25">
      <c r="A36" s="11" t="s">
        <v>30</v>
      </c>
      <c r="B36" s="3">
        <f>B35*Config!B6</f>
        <v>299.58333333333337</v>
      </c>
      <c r="C36" s="1"/>
      <c r="D36" s="1" t="s">
        <v>31</v>
      </c>
      <c r="E36" s="12">
        <f>IFERROR(B42/B5,0)</f>
        <v>2285.7142857142858</v>
      </c>
      <c r="F36" s="1"/>
      <c r="G36" s="1"/>
      <c r="H36" s="1"/>
    </row>
    <row r="37" spans="1:8" ht="29.25">
      <c r="A37" s="11" t="s">
        <v>32</v>
      </c>
      <c r="B37" s="3">
        <f>B35+B36</f>
        <v>6291.25</v>
      </c>
      <c r="C37" s="1"/>
      <c r="D37" s="1" t="s">
        <v>33</v>
      </c>
      <c r="E37" s="12">
        <f>IFERROR(B33/B42,0)</f>
        <v>9.2708333333333323E-2</v>
      </c>
      <c r="F37" s="1"/>
      <c r="G37" s="1"/>
      <c r="H37" s="1"/>
    </row>
    <row r="38" spans="1:8" ht="29.25">
      <c r="A38" s="11" t="s">
        <v>34</v>
      </c>
      <c r="B38" s="3">
        <f>B37*Config!B5</f>
        <v>1572.8125</v>
      </c>
      <c r="C38" s="1"/>
      <c r="D38" s="1" t="s">
        <v>35</v>
      </c>
      <c r="E38" s="12">
        <f>IFERROR(B34/B42,0)</f>
        <v>0.65625</v>
      </c>
      <c r="F38" s="1"/>
      <c r="G38" s="1"/>
      <c r="H38" s="1"/>
    </row>
    <row r="39" spans="1:8" ht="15">
      <c r="A39" s="11" t="s">
        <v>36</v>
      </c>
      <c r="B39" s="3">
        <f>B37+B38</f>
        <v>7864.0625</v>
      </c>
      <c r="C39" s="1"/>
      <c r="D39" s="1"/>
      <c r="E39" s="1"/>
      <c r="F39" s="1"/>
      <c r="G39" s="1"/>
      <c r="H39" s="1"/>
    </row>
    <row r="40" spans="1:8" ht="15">
      <c r="A40" s="11" t="s">
        <v>37</v>
      </c>
      <c r="B40" s="3">
        <f>IF(Config!B7=0,0,B39/(1-Config!B7)-B39)</f>
        <v>0</v>
      </c>
      <c r="C40" s="1"/>
      <c r="D40" s="16" t="s">
        <v>38</v>
      </c>
      <c r="E40" s="16"/>
      <c r="F40" s="16"/>
      <c r="G40" s="16"/>
      <c r="H40" s="16"/>
    </row>
    <row r="41" spans="1:8" ht="15">
      <c r="A41" s="11" t="s">
        <v>39</v>
      </c>
      <c r="B41" s="3">
        <f>B39+B40</f>
        <v>7864.0625</v>
      </c>
      <c r="C41" s="1"/>
      <c r="D41" s="18" t="s">
        <v>40</v>
      </c>
      <c r="E41" s="18"/>
      <c r="F41" s="18"/>
      <c r="G41" s="18"/>
      <c r="H41" s="18"/>
    </row>
    <row r="42" spans="1:8" ht="16.5">
      <c r="A42" s="13" t="s">
        <v>41</v>
      </c>
      <c r="B42" s="14">
        <f>ROUNDUP(B41/Config!B8,0)*Config!B8</f>
        <v>8000</v>
      </c>
      <c r="C42" s="1"/>
      <c r="D42" s="18"/>
      <c r="E42" s="18"/>
      <c r="F42" s="18"/>
      <c r="G42" s="18"/>
      <c r="H42" s="18"/>
    </row>
    <row r="43" spans="1:8">
      <c r="A43" s="1"/>
      <c r="B43" s="1"/>
      <c r="C43" s="1"/>
      <c r="D43" s="18"/>
      <c r="E43" s="18"/>
      <c r="F43" s="18"/>
      <c r="G43" s="18"/>
      <c r="H43" s="18"/>
    </row>
    <row r="44" spans="1:8">
      <c r="A44" s="1"/>
      <c r="B44" s="1"/>
      <c r="C44" s="1"/>
      <c r="D44" s="18"/>
      <c r="E44" s="18"/>
      <c r="F44" s="18"/>
      <c r="G44" s="18"/>
      <c r="H44" s="18"/>
    </row>
    <row r="45" spans="1:8">
      <c r="A45" s="1"/>
      <c r="B45" s="1"/>
      <c r="C45" s="1"/>
      <c r="D45" s="18"/>
      <c r="E45" s="18"/>
      <c r="F45" s="18"/>
      <c r="G45" s="18"/>
      <c r="H45" s="18"/>
    </row>
  </sheetData>
  <mergeCells count="6">
    <mergeCell ref="D41:H45"/>
    <mergeCell ref="A1:H1"/>
    <mergeCell ref="A9:H9"/>
    <mergeCell ref="A32:D32"/>
    <mergeCell ref="D33:F33"/>
    <mergeCell ref="D40:H40"/>
  </mergeCells>
  <dataValidations count="1">
    <dataValidation type="list" sqref="H11:H30" xr:uid="{6ED3FA3A-B547-41BB-A9C8-632252FAFD16}">
      <formula1>"Material,Accesorio,Empaque,Otro"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3E860-93F1-4D6A-9015-EBABC802D697}">
  <dimension ref="A1:H45"/>
  <sheetViews>
    <sheetView workbookViewId="0">
      <selection activeCell="D12" sqref="D12"/>
    </sheetView>
  </sheetViews>
  <sheetFormatPr baseColWidth="10" defaultColWidth="9" defaultRowHeight="14.25"/>
  <cols>
    <col min="1" max="1" width="28" customWidth="1"/>
    <col min="2" max="4" width="16" customWidth="1"/>
    <col min="5" max="5" width="12" customWidth="1"/>
    <col min="6" max="6" width="16" customWidth="1"/>
    <col min="7" max="7" width="28" customWidth="1"/>
    <col min="8" max="8" width="14" customWidth="1"/>
  </cols>
  <sheetData>
    <row r="1" spans="1:8" ht="20.25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1"/>
      <c r="B2" s="1"/>
      <c r="C2" s="1"/>
      <c r="D2" s="1"/>
      <c r="E2" s="1"/>
      <c r="F2" s="1"/>
      <c r="G2" s="1"/>
      <c r="H2" s="1"/>
    </row>
    <row r="3" spans="1:8" ht="15">
      <c r="A3" s="2" t="s">
        <v>1</v>
      </c>
      <c r="B3" s="2"/>
      <c r="C3" s="1"/>
      <c r="D3" s="1"/>
      <c r="E3" s="1"/>
      <c r="F3" s="1"/>
      <c r="G3" s="1"/>
      <c r="H3" s="1"/>
    </row>
    <row r="4" spans="1:8">
      <c r="A4" s="1" t="s">
        <v>2</v>
      </c>
      <c r="B4" s="6" t="s">
        <v>57</v>
      </c>
      <c r="C4" s="1"/>
      <c r="D4" s="1"/>
      <c r="E4" s="1"/>
      <c r="F4" s="1"/>
      <c r="G4" s="1"/>
      <c r="H4" s="1"/>
    </row>
    <row r="5" spans="1:8">
      <c r="A5" s="1" t="s">
        <v>3</v>
      </c>
      <c r="B5" s="7">
        <v>3.5</v>
      </c>
      <c r="C5" s="1"/>
      <c r="D5" s="1"/>
      <c r="E5" s="1"/>
      <c r="F5" s="1"/>
      <c r="G5" s="1"/>
      <c r="H5" s="1"/>
    </row>
    <row r="6" spans="1:8">
      <c r="A6" s="1" t="s">
        <v>4</v>
      </c>
      <c r="B6" s="3">
        <f>Config!B4</f>
        <v>1500</v>
      </c>
      <c r="C6" s="1"/>
      <c r="D6" s="1"/>
      <c r="E6" s="1"/>
      <c r="F6" s="1"/>
      <c r="G6" s="1"/>
      <c r="H6" s="1"/>
    </row>
    <row r="7" spans="1:8">
      <c r="A7" s="1" t="s">
        <v>5</v>
      </c>
      <c r="B7" s="3">
        <f>B5*B6</f>
        <v>5250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 ht="15">
      <c r="A9" s="16" t="s">
        <v>6</v>
      </c>
      <c r="B9" s="16"/>
      <c r="C9" s="16"/>
      <c r="D9" s="16"/>
      <c r="E9" s="16"/>
      <c r="F9" s="16"/>
      <c r="G9" s="16"/>
      <c r="H9" s="16"/>
    </row>
    <row r="10" spans="1:8" ht="30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</row>
    <row r="11" spans="1:8">
      <c r="A11" s="8" t="s">
        <v>15</v>
      </c>
      <c r="B11" s="9">
        <v>2600</v>
      </c>
      <c r="C11" s="10">
        <v>100</v>
      </c>
      <c r="D11" s="10">
        <v>25</v>
      </c>
      <c r="E11" s="8" t="s">
        <v>16</v>
      </c>
      <c r="F11" s="3">
        <f t="shared" ref="F11:F30" si="0">IFERROR((B11/C11)*D11,0)</f>
        <v>650</v>
      </c>
      <c r="G11" s="8" t="s">
        <v>17</v>
      </c>
      <c r="H11" s="8" t="s">
        <v>18</v>
      </c>
    </row>
    <row r="12" spans="1:8">
      <c r="A12" s="8" t="s">
        <v>19</v>
      </c>
      <c r="B12" s="9">
        <v>0</v>
      </c>
      <c r="C12" s="10">
        <v>0</v>
      </c>
      <c r="D12" s="10">
        <v>0</v>
      </c>
      <c r="E12" s="8" t="s">
        <v>16</v>
      </c>
      <c r="F12" s="3">
        <f t="shared" si="0"/>
        <v>0</v>
      </c>
      <c r="G12" s="8"/>
      <c r="H12" s="8" t="s">
        <v>18</v>
      </c>
    </row>
    <row r="13" spans="1:8">
      <c r="A13" s="8" t="s">
        <v>20</v>
      </c>
      <c r="B13" s="9">
        <v>0</v>
      </c>
      <c r="C13" s="10">
        <v>1</v>
      </c>
      <c r="D13" s="10">
        <v>0</v>
      </c>
      <c r="E13" s="8" t="s">
        <v>21</v>
      </c>
      <c r="F13" s="3">
        <f t="shared" si="0"/>
        <v>0</v>
      </c>
      <c r="G13" s="8"/>
      <c r="H13" s="8" t="s">
        <v>22</v>
      </c>
    </row>
    <row r="14" spans="1:8">
      <c r="A14" s="8" t="s">
        <v>23</v>
      </c>
      <c r="B14" s="9">
        <v>0</v>
      </c>
      <c r="C14" s="10">
        <v>1</v>
      </c>
      <c r="D14" s="10">
        <v>0</v>
      </c>
      <c r="E14" s="8" t="s">
        <v>21</v>
      </c>
      <c r="F14" s="3">
        <f t="shared" si="0"/>
        <v>0</v>
      </c>
      <c r="G14" s="8"/>
      <c r="H14" s="8" t="s">
        <v>22</v>
      </c>
    </row>
    <row r="15" spans="1:8">
      <c r="A15" s="8" t="s">
        <v>53</v>
      </c>
      <c r="B15" s="9">
        <v>625</v>
      </c>
      <c r="C15" s="10">
        <v>30</v>
      </c>
      <c r="D15" s="10">
        <v>2</v>
      </c>
      <c r="E15" s="8" t="s">
        <v>21</v>
      </c>
      <c r="F15" s="3">
        <f t="shared" si="0"/>
        <v>41.666666666666664</v>
      </c>
      <c r="G15" s="8"/>
      <c r="H15" s="8" t="s">
        <v>18</v>
      </c>
    </row>
    <row r="16" spans="1:8">
      <c r="A16" s="8" t="s">
        <v>55</v>
      </c>
      <c r="B16" s="9">
        <v>250</v>
      </c>
      <c r="C16" s="10">
        <v>5</v>
      </c>
      <c r="D16" s="10">
        <v>1</v>
      </c>
      <c r="E16" s="8"/>
      <c r="F16" s="3">
        <f t="shared" si="0"/>
        <v>50</v>
      </c>
      <c r="G16" s="8"/>
      <c r="H16" s="8" t="s">
        <v>18</v>
      </c>
    </row>
    <row r="17" spans="1:8">
      <c r="A17" s="8"/>
      <c r="B17" s="9">
        <v>0</v>
      </c>
      <c r="C17" s="10">
        <v>1</v>
      </c>
      <c r="D17" s="10">
        <v>0</v>
      </c>
      <c r="E17" s="8"/>
      <c r="F17" s="3">
        <f t="shared" si="0"/>
        <v>0</v>
      </c>
      <c r="G17" s="8"/>
      <c r="H17" s="8" t="s">
        <v>18</v>
      </c>
    </row>
    <row r="18" spans="1:8">
      <c r="A18" s="8"/>
      <c r="B18" s="9">
        <v>0</v>
      </c>
      <c r="C18" s="10">
        <v>1</v>
      </c>
      <c r="D18" s="10">
        <v>0</v>
      </c>
      <c r="E18" s="8"/>
      <c r="F18" s="3">
        <f t="shared" si="0"/>
        <v>0</v>
      </c>
      <c r="G18" s="8"/>
      <c r="H18" s="8" t="s">
        <v>18</v>
      </c>
    </row>
    <row r="19" spans="1:8">
      <c r="A19" s="8"/>
      <c r="B19" s="9">
        <v>0</v>
      </c>
      <c r="C19" s="10">
        <v>1</v>
      </c>
      <c r="D19" s="10">
        <v>0</v>
      </c>
      <c r="E19" s="8"/>
      <c r="F19" s="3">
        <f t="shared" si="0"/>
        <v>0</v>
      </c>
      <c r="G19" s="8"/>
      <c r="H19" s="8" t="s">
        <v>18</v>
      </c>
    </row>
    <row r="20" spans="1:8">
      <c r="A20" s="8"/>
      <c r="B20" s="9">
        <v>0</v>
      </c>
      <c r="C20" s="10">
        <v>1</v>
      </c>
      <c r="D20" s="10">
        <v>0</v>
      </c>
      <c r="E20" s="8"/>
      <c r="F20" s="3">
        <f t="shared" si="0"/>
        <v>0</v>
      </c>
      <c r="G20" s="8"/>
      <c r="H20" s="8" t="s">
        <v>18</v>
      </c>
    </row>
    <row r="21" spans="1:8">
      <c r="A21" s="8"/>
      <c r="B21" s="9">
        <v>0</v>
      </c>
      <c r="C21" s="10">
        <v>1</v>
      </c>
      <c r="D21" s="10">
        <v>0</v>
      </c>
      <c r="E21" s="8"/>
      <c r="F21" s="3">
        <f t="shared" si="0"/>
        <v>0</v>
      </c>
      <c r="G21" s="8"/>
      <c r="H21" s="8" t="s">
        <v>18</v>
      </c>
    </row>
    <row r="22" spans="1:8">
      <c r="A22" s="8"/>
      <c r="B22" s="9">
        <v>0</v>
      </c>
      <c r="C22" s="10">
        <v>1</v>
      </c>
      <c r="D22" s="10">
        <v>0</v>
      </c>
      <c r="E22" s="8"/>
      <c r="F22" s="3">
        <f t="shared" si="0"/>
        <v>0</v>
      </c>
      <c r="G22" s="8"/>
      <c r="H22" s="8" t="s">
        <v>18</v>
      </c>
    </row>
    <row r="23" spans="1:8">
      <c r="A23" s="8"/>
      <c r="B23" s="9">
        <v>0</v>
      </c>
      <c r="C23" s="10">
        <v>1</v>
      </c>
      <c r="D23" s="10">
        <v>0</v>
      </c>
      <c r="E23" s="8"/>
      <c r="F23" s="3">
        <f t="shared" si="0"/>
        <v>0</v>
      </c>
      <c r="G23" s="8"/>
      <c r="H23" s="8" t="s">
        <v>18</v>
      </c>
    </row>
    <row r="24" spans="1:8">
      <c r="A24" s="8"/>
      <c r="B24" s="9">
        <v>0</v>
      </c>
      <c r="C24" s="10">
        <v>1</v>
      </c>
      <c r="D24" s="10">
        <v>0</v>
      </c>
      <c r="E24" s="8"/>
      <c r="F24" s="3">
        <f t="shared" si="0"/>
        <v>0</v>
      </c>
      <c r="G24" s="8"/>
      <c r="H24" s="8" t="s">
        <v>18</v>
      </c>
    </row>
    <row r="25" spans="1:8">
      <c r="A25" s="8"/>
      <c r="B25" s="9">
        <v>0</v>
      </c>
      <c r="C25" s="10">
        <v>1</v>
      </c>
      <c r="D25" s="10">
        <v>0</v>
      </c>
      <c r="E25" s="8"/>
      <c r="F25" s="3">
        <f t="shared" si="0"/>
        <v>0</v>
      </c>
      <c r="G25" s="8"/>
      <c r="H25" s="8" t="s">
        <v>18</v>
      </c>
    </row>
    <row r="26" spans="1:8">
      <c r="A26" s="8"/>
      <c r="B26" s="9">
        <v>0</v>
      </c>
      <c r="C26" s="10">
        <v>1</v>
      </c>
      <c r="D26" s="10">
        <v>0</v>
      </c>
      <c r="E26" s="8"/>
      <c r="F26" s="3">
        <f t="shared" si="0"/>
        <v>0</v>
      </c>
      <c r="G26" s="8"/>
      <c r="H26" s="8" t="s">
        <v>18</v>
      </c>
    </row>
    <row r="27" spans="1:8">
      <c r="A27" s="8"/>
      <c r="B27" s="9">
        <v>0</v>
      </c>
      <c r="C27" s="10">
        <v>1</v>
      </c>
      <c r="D27" s="10">
        <v>0</v>
      </c>
      <c r="E27" s="8"/>
      <c r="F27" s="3">
        <f t="shared" si="0"/>
        <v>0</v>
      </c>
      <c r="G27" s="8"/>
      <c r="H27" s="8" t="s">
        <v>18</v>
      </c>
    </row>
    <row r="28" spans="1:8">
      <c r="A28" s="8"/>
      <c r="B28" s="9">
        <v>0</v>
      </c>
      <c r="C28" s="10">
        <v>1</v>
      </c>
      <c r="D28" s="10">
        <v>0</v>
      </c>
      <c r="E28" s="8"/>
      <c r="F28" s="3">
        <f t="shared" si="0"/>
        <v>0</v>
      </c>
      <c r="G28" s="8"/>
      <c r="H28" s="8" t="s">
        <v>18</v>
      </c>
    </row>
    <row r="29" spans="1:8">
      <c r="A29" s="8"/>
      <c r="B29" s="9">
        <v>0</v>
      </c>
      <c r="C29" s="10">
        <v>1</v>
      </c>
      <c r="D29" s="10">
        <v>0</v>
      </c>
      <c r="E29" s="8"/>
      <c r="F29" s="3">
        <f t="shared" si="0"/>
        <v>0</v>
      </c>
      <c r="G29" s="8"/>
      <c r="H29" s="8" t="s">
        <v>18</v>
      </c>
    </row>
    <row r="30" spans="1:8">
      <c r="A30" s="8"/>
      <c r="B30" s="9">
        <v>0</v>
      </c>
      <c r="C30" s="10">
        <v>1</v>
      </c>
      <c r="D30" s="10">
        <v>0</v>
      </c>
      <c r="E30" s="8"/>
      <c r="F30" s="3">
        <f t="shared" si="0"/>
        <v>0</v>
      </c>
      <c r="G30" s="8"/>
      <c r="H30" s="8" t="s">
        <v>18</v>
      </c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 ht="15">
      <c r="A32" s="17" t="s">
        <v>24</v>
      </c>
      <c r="B32" s="17"/>
      <c r="C32" s="17"/>
      <c r="D32" s="17"/>
      <c r="E32" s="1"/>
      <c r="F32" s="1"/>
      <c r="G32" s="1"/>
      <c r="H32" s="1"/>
    </row>
    <row r="33" spans="1:8" ht="15">
      <c r="A33" s="11" t="s">
        <v>25</v>
      </c>
      <c r="B33" s="3">
        <f>SUM(F11:F30)</f>
        <v>741.66666666666663</v>
      </c>
      <c r="C33" s="1"/>
      <c r="D33" s="16" t="s">
        <v>26</v>
      </c>
      <c r="E33" s="16"/>
      <c r="F33" s="16"/>
      <c r="G33" s="1"/>
      <c r="H33" s="1"/>
    </row>
    <row r="34" spans="1:8" ht="29.25">
      <c r="A34" s="11" t="s">
        <v>5</v>
      </c>
      <c r="B34" s="3">
        <f>B7</f>
        <v>5250</v>
      </c>
      <c r="C34" s="1"/>
      <c r="D34" s="1" t="s">
        <v>27</v>
      </c>
      <c r="E34" s="3">
        <f>B38</f>
        <v>1572.8125</v>
      </c>
      <c r="F34" s="1"/>
      <c r="G34" s="1"/>
      <c r="H34" s="1"/>
    </row>
    <row r="35" spans="1:8" ht="29.25">
      <c r="A35" s="11" t="s">
        <v>28</v>
      </c>
      <c r="B35" s="3">
        <f>B33+B34</f>
        <v>5991.666666666667</v>
      </c>
      <c r="C35" s="1"/>
      <c r="D35" s="1" t="s">
        <v>29</v>
      </c>
      <c r="E35" s="12">
        <f>IFERROR(E34/B42,0)</f>
        <v>0.19660156249999999</v>
      </c>
      <c r="F35" s="1"/>
      <c r="G35" s="1"/>
      <c r="H35" s="1"/>
    </row>
    <row r="36" spans="1:8" ht="29.25">
      <c r="A36" s="11" t="s">
        <v>30</v>
      </c>
      <c r="B36" s="3">
        <f>B35*Config!B6</f>
        <v>299.58333333333337</v>
      </c>
      <c r="C36" s="1"/>
      <c r="D36" s="1" t="s">
        <v>31</v>
      </c>
      <c r="E36" s="12">
        <f>IFERROR(B42/B5,0)</f>
        <v>2285.7142857142858</v>
      </c>
      <c r="F36" s="1"/>
      <c r="G36" s="1"/>
      <c r="H36" s="1"/>
    </row>
    <row r="37" spans="1:8" ht="29.25">
      <c r="A37" s="11" t="s">
        <v>32</v>
      </c>
      <c r="B37" s="3">
        <f>B35+B36</f>
        <v>6291.25</v>
      </c>
      <c r="C37" s="1"/>
      <c r="D37" s="1" t="s">
        <v>33</v>
      </c>
      <c r="E37" s="12">
        <f>IFERROR(B33/B42,0)</f>
        <v>9.2708333333333323E-2</v>
      </c>
      <c r="F37" s="1"/>
      <c r="G37" s="1"/>
      <c r="H37" s="1"/>
    </row>
    <row r="38" spans="1:8" ht="29.25">
      <c r="A38" s="11" t="s">
        <v>34</v>
      </c>
      <c r="B38" s="3">
        <f>B37*Config!B5</f>
        <v>1572.8125</v>
      </c>
      <c r="C38" s="1"/>
      <c r="D38" s="1" t="s">
        <v>35</v>
      </c>
      <c r="E38" s="12">
        <f>IFERROR(B34/B42,0)</f>
        <v>0.65625</v>
      </c>
      <c r="F38" s="1"/>
      <c r="G38" s="1"/>
      <c r="H38" s="1"/>
    </row>
    <row r="39" spans="1:8" ht="15">
      <c r="A39" s="11" t="s">
        <v>36</v>
      </c>
      <c r="B39" s="3">
        <f>B37+B38</f>
        <v>7864.0625</v>
      </c>
      <c r="C39" s="1"/>
      <c r="D39" s="1"/>
      <c r="E39" s="1"/>
      <c r="F39" s="1"/>
      <c r="G39" s="1"/>
      <c r="H39" s="1"/>
    </row>
    <row r="40" spans="1:8" ht="15">
      <c r="A40" s="11" t="s">
        <v>37</v>
      </c>
      <c r="B40" s="3">
        <f>IF(Config!B7=0,0,B39/(1-Config!B7)-B39)</f>
        <v>0</v>
      </c>
      <c r="C40" s="1"/>
      <c r="D40" s="16" t="s">
        <v>38</v>
      </c>
      <c r="E40" s="16"/>
      <c r="F40" s="16"/>
      <c r="G40" s="16"/>
      <c r="H40" s="16"/>
    </row>
    <row r="41" spans="1:8" ht="15">
      <c r="A41" s="11" t="s">
        <v>39</v>
      </c>
      <c r="B41" s="3">
        <f>B39+B40</f>
        <v>7864.0625</v>
      </c>
      <c r="C41" s="1"/>
      <c r="D41" s="18" t="s">
        <v>40</v>
      </c>
      <c r="E41" s="18"/>
      <c r="F41" s="18"/>
      <c r="G41" s="18"/>
      <c r="H41" s="18"/>
    </row>
    <row r="42" spans="1:8" ht="16.5">
      <c r="A42" s="13" t="s">
        <v>41</v>
      </c>
      <c r="B42" s="14">
        <f>ROUNDUP(B41/Config!B8,0)*Config!B8</f>
        <v>8000</v>
      </c>
      <c r="C42" s="1"/>
      <c r="D42" s="18"/>
      <c r="E42" s="18"/>
      <c r="F42" s="18"/>
      <c r="G42" s="18"/>
      <c r="H42" s="18"/>
    </row>
    <row r="43" spans="1:8">
      <c r="A43" s="1"/>
      <c r="B43" s="1"/>
      <c r="C43" s="1"/>
      <c r="D43" s="18"/>
      <c r="E43" s="18"/>
      <c r="F43" s="18"/>
      <c r="G43" s="18"/>
      <c r="H43" s="18"/>
    </row>
    <row r="44" spans="1:8">
      <c r="A44" s="1"/>
      <c r="B44" s="1"/>
      <c r="C44" s="1"/>
      <c r="D44" s="18"/>
      <c r="E44" s="18"/>
      <c r="F44" s="18"/>
      <c r="G44" s="18"/>
      <c r="H44" s="18"/>
    </row>
    <row r="45" spans="1:8">
      <c r="A45" s="1"/>
      <c r="B45" s="1"/>
      <c r="C45" s="1"/>
      <c r="D45" s="18"/>
      <c r="E45" s="18"/>
      <c r="F45" s="18"/>
      <c r="G45" s="18"/>
      <c r="H45" s="18"/>
    </row>
  </sheetData>
  <mergeCells count="6">
    <mergeCell ref="D41:H45"/>
    <mergeCell ref="A1:H1"/>
    <mergeCell ref="A9:H9"/>
    <mergeCell ref="A32:D32"/>
    <mergeCell ref="D33:F33"/>
    <mergeCell ref="D40:H40"/>
  </mergeCells>
  <dataValidations count="1">
    <dataValidation type="list" sqref="H11:H30" xr:uid="{DAC0964B-7C7B-4302-9760-33E1EE8DA6D0}">
      <formula1>"Material,Accesorio,Empaque,Otro"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15961-82B1-4850-90AA-6D1AA4A51402}">
  <dimension ref="A1:H45"/>
  <sheetViews>
    <sheetView workbookViewId="0">
      <selection activeCell="B6" sqref="B6"/>
    </sheetView>
  </sheetViews>
  <sheetFormatPr baseColWidth="10" defaultColWidth="9" defaultRowHeight="14.25"/>
  <cols>
    <col min="1" max="1" width="28" customWidth="1"/>
    <col min="2" max="4" width="16" customWidth="1"/>
    <col min="5" max="5" width="12" customWidth="1"/>
    <col min="6" max="6" width="16" customWidth="1"/>
    <col min="7" max="7" width="28" customWidth="1"/>
    <col min="8" max="8" width="14" customWidth="1"/>
  </cols>
  <sheetData>
    <row r="1" spans="1:8" ht="20.25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1"/>
      <c r="B2" s="1"/>
      <c r="C2" s="1"/>
      <c r="D2" s="1"/>
      <c r="E2" s="1"/>
      <c r="F2" s="1"/>
      <c r="G2" s="1"/>
      <c r="H2" s="1"/>
    </row>
    <row r="3" spans="1:8" ht="15">
      <c r="A3" s="2" t="s">
        <v>1</v>
      </c>
      <c r="B3" s="2"/>
      <c r="C3" s="1"/>
      <c r="D3" s="1"/>
      <c r="E3" s="1"/>
      <c r="F3" s="1"/>
      <c r="G3" s="1"/>
      <c r="H3" s="1"/>
    </row>
    <row r="4" spans="1:8">
      <c r="A4" s="1" t="s">
        <v>2</v>
      </c>
      <c r="B4" s="6" t="s">
        <v>56</v>
      </c>
      <c r="C4" s="1"/>
      <c r="D4" s="1"/>
      <c r="E4" s="1"/>
      <c r="F4" s="1"/>
      <c r="G4" s="1"/>
      <c r="H4" s="1"/>
    </row>
    <row r="5" spans="1:8">
      <c r="A5" s="1" t="s">
        <v>3</v>
      </c>
      <c r="B5" s="7">
        <v>1</v>
      </c>
      <c r="C5" s="1"/>
      <c r="D5" s="1"/>
      <c r="E5" s="1"/>
      <c r="F5" s="1"/>
      <c r="G5" s="1"/>
      <c r="H5" s="1"/>
    </row>
    <row r="6" spans="1:8">
      <c r="A6" s="1" t="s">
        <v>4</v>
      </c>
      <c r="B6" s="3">
        <f>Config!B4</f>
        <v>1500</v>
      </c>
      <c r="C6" s="1"/>
      <c r="D6" s="1"/>
      <c r="E6" s="1"/>
      <c r="F6" s="1"/>
      <c r="G6" s="1"/>
      <c r="H6" s="1"/>
    </row>
    <row r="7" spans="1:8">
      <c r="A7" s="1" t="s">
        <v>5</v>
      </c>
      <c r="B7" s="3">
        <f>B5*B6</f>
        <v>1500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 ht="15">
      <c r="A9" s="16" t="s">
        <v>6</v>
      </c>
      <c r="B9" s="16"/>
      <c r="C9" s="16"/>
      <c r="D9" s="16"/>
      <c r="E9" s="16"/>
      <c r="F9" s="16"/>
      <c r="G9" s="16"/>
      <c r="H9" s="16"/>
    </row>
    <row r="10" spans="1:8" ht="30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</row>
    <row r="11" spans="1:8">
      <c r="A11" s="8" t="s">
        <v>15</v>
      </c>
      <c r="B11" s="9">
        <v>2600</v>
      </c>
      <c r="C11" s="10">
        <v>100</v>
      </c>
      <c r="D11" s="10">
        <v>12</v>
      </c>
      <c r="E11" s="8" t="s">
        <v>16</v>
      </c>
      <c r="F11" s="3">
        <f t="shared" ref="F11:F30" si="0">IFERROR((B11/C11)*D11,0)</f>
        <v>312</v>
      </c>
      <c r="G11" s="8" t="s">
        <v>17</v>
      </c>
      <c r="H11" s="8" t="s">
        <v>18</v>
      </c>
    </row>
    <row r="12" spans="1:8">
      <c r="A12" s="8" t="s">
        <v>19</v>
      </c>
      <c r="B12" s="9">
        <v>0</v>
      </c>
      <c r="C12" s="10">
        <v>0</v>
      </c>
      <c r="D12" s="10">
        <v>0</v>
      </c>
      <c r="E12" s="8" t="s">
        <v>16</v>
      </c>
      <c r="F12" s="3">
        <f t="shared" si="0"/>
        <v>0</v>
      </c>
      <c r="G12" s="8"/>
      <c r="H12" s="8" t="s">
        <v>18</v>
      </c>
    </row>
    <row r="13" spans="1:8">
      <c r="A13" s="8" t="s">
        <v>20</v>
      </c>
      <c r="B13" s="9">
        <v>0</v>
      </c>
      <c r="C13" s="10">
        <v>1</v>
      </c>
      <c r="D13" s="10">
        <v>0</v>
      </c>
      <c r="E13" s="8" t="s">
        <v>21</v>
      </c>
      <c r="F13" s="3">
        <f t="shared" si="0"/>
        <v>0</v>
      </c>
      <c r="G13" s="8"/>
      <c r="H13" s="8" t="s">
        <v>22</v>
      </c>
    </row>
    <row r="14" spans="1:8">
      <c r="A14" s="8" t="s">
        <v>23</v>
      </c>
      <c r="B14" s="9">
        <v>0</v>
      </c>
      <c r="C14" s="10">
        <v>1</v>
      </c>
      <c r="D14" s="10">
        <v>0</v>
      </c>
      <c r="E14" s="8" t="s">
        <v>21</v>
      </c>
      <c r="F14" s="3">
        <f t="shared" si="0"/>
        <v>0</v>
      </c>
      <c r="G14" s="8"/>
      <c r="H14" s="8" t="s">
        <v>22</v>
      </c>
    </row>
    <row r="15" spans="1:8">
      <c r="A15" s="8" t="s">
        <v>53</v>
      </c>
      <c r="B15" s="9">
        <v>625</v>
      </c>
      <c r="C15" s="10">
        <v>30</v>
      </c>
      <c r="D15" s="10">
        <v>0</v>
      </c>
      <c r="E15" s="8" t="s">
        <v>21</v>
      </c>
      <c r="F15" s="3">
        <f t="shared" si="0"/>
        <v>0</v>
      </c>
      <c r="G15" s="8"/>
      <c r="H15" s="8" t="s">
        <v>18</v>
      </c>
    </row>
    <row r="16" spans="1:8">
      <c r="A16" s="8" t="s">
        <v>55</v>
      </c>
      <c r="B16" s="9">
        <v>250</v>
      </c>
      <c r="C16" s="10">
        <v>5</v>
      </c>
      <c r="D16" s="10">
        <v>1</v>
      </c>
      <c r="E16" s="8"/>
      <c r="F16" s="3">
        <f t="shared" si="0"/>
        <v>50</v>
      </c>
      <c r="G16" s="8"/>
      <c r="H16" s="8" t="s">
        <v>18</v>
      </c>
    </row>
    <row r="17" spans="1:8">
      <c r="A17" s="8"/>
      <c r="B17" s="9">
        <v>0</v>
      </c>
      <c r="C17" s="10">
        <v>1</v>
      </c>
      <c r="D17" s="10">
        <v>0</v>
      </c>
      <c r="E17" s="8"/>
      <c r="F17" s="3">
        <f t="shared" si="0"/>
        <v>0</v>
      </c>
      <c r="G17" s="8"/>
      <c r="H17" s="8" t="s">
        <v>18</v>
      </c>
    </row>
    <row r="18" spans="1:8">
      <c r="A18" s="8"/>
      <c r="B18" s="9">
        <v>0</v>
      </c>
      <c r="C18" s="10">
        <v>1</v>
      </c>
      <c r="D18" s="10">
        <v>0</v>
      </c>
      <c r="E18" s="8"/>
      <c r="F18" s="3">
        <f t="shared" si="0"/>
        <v>0</v>
      </c>
      <c r="G18" s="8"/>
      <c r="H18" s="8" t="s">
        <v>18</v>
      </c>
    </row>
    <row r="19" spans="1:8">
      <c r="A19" s="8"/>
      <c r="B19" s="9">
        <v>0</v>
      </c>
      <c r="C19" s="10">
        <v>1</v>
      </c>
      <c r="D19" s="10">
        <v>0</v>
      </c>
      <c r="E19" s="8"/>
      <c r="F19" s="3">
        <f t="shared" si="0"/>
        <v>0</v>
      </c>
      <c r="G19" s="8"/>
      <c r="H19" s="8" t="s">
        <v>18</v>
      </c>
    </row>
    <row r="20" spans="1:8">
      <c r="A20" s="8"/>
      <c r="B20" s="9">
        <v>0</v>
      </c>
      <c r="C20" s="10">
        <v>1</v>
      </c>
      <c r="D20" s="10">
        <v>0</v>
      </c>
      <c r="E20" s="8"/>
      <c r="F20" s="3">
        <f t="shared" si="0"/>
        <v>0</v>
      </c>
      <c r="G20" s="8"/>
      <c r="H20" s="8" t="s">
        <v>18</v>
      </c>
    </row>
    <row r="21" spans="1:8">
      <c r="A21" s="8"/>
      <c r="B21" s="9">
        <v>0</v>
      </c>
      <c r="C21" s="10">
        <v>1</v>
      </c>
      <c r="D21" s="10">
        <v>0</v>
      </c>
      <c r="E21" s="8"/>
      <c r="F21" s="3">
        <f t="shared" si="0"/>
        <v>0</v>
      </c>
      <c r="G21" s="8"/>
      <c r="H21" s="8" t="s">
        <v>18</v>
      </c>
    </row>
    <row r="22" spans="1:8">
      <c r="A22" s="8"/>
      <c r="B22" s="9">
        <v>0</v>
      </c>
      <c r="C22" s="10">
        <v>1</v>
      </c>
      <c r="D22" s="10">
        <v>0</v>
      </c>
      <c r="E22" s="8"/>
      <c r="F22" s="3">
        <f t="shared" si="0"/>
        <v>0</v>
      </c>
      <c r="G22" s="8"/>
      <c r="H22" s="8" t="s">
        <v>18</v>
      </c>
    </row>
    <row r="23" spans="1:8">
      <c r="A23" s="8"/>
      <c r="B23" s="9">
        <v>0</v>
      </c>
      <c r="C23" s="10">
        <v>1</v>
      </c>
      <c r="D23" s="10">
        <v>0</v>
      </c>
      <c r="E23" s="8"/>
      <c r="F23" s="3">
        <f t="shared" si="0"/>
        <v>0</v>
      </c>
      <c r="G23" s="8"/>
      <c r="H23" s="8" t="s">
        <v>18</v>
      </c>
    </row>
    <row r="24" spans="1:8">
      <c r="A24" s="8"/>
      <c r="B24" s="9">
        <v>0</v>
      </c>
      <c r="C24" s="10">
        <v>1</v>
      </c>
      <c r="D24" s="10">
        <v>0</v>
      </c>
      <c r="E24" s="8"/>
      <c r="F24" s="3">
        <f t="shared" si="0"/>
        <v>0</v>
      </c>
      <c r="G24" s="8"/>
      <c r="H24" s="8" t="s">
        <v>18</v>
      </c>
    </row>
    <row r="25" spans="1:8">
      <c r="A25" s="8"/>
      <c r="B25" s="9">
        <v>0</v>
      </c>
      <c r="C25" s="10">
        <v>1</v>
      </c>
      <c r="D25" s="10">
        <v>0</v>
      </c>
      <c r="E25" s="8"/>
      <c r="F25" s="3">
        <f t="shared" si="0"/>
        <v>0</v>
      </c>
      <c r="G25" s="8"/>
      <c r="H25" s="8" t="s">
        <v>18</v>
      </c>
    </row>
    <row r="26" spans="1:8">
      <c r="A26" s="8"/>
      <c r="B26" s="9">
        <v>0</v>
      </c>
      <c r="C26" s="10">
        <v>1</v>
      </c>
      <c r="D26" s="10">
        <v>0</v>
      </c>
      <c r="E26" s="8"/>
      <c r="F26" s="3">
        <f t="shared" si="0"/>
        <v>0</v>
      </c>
      <c r="G26" s="8"/>
      <c r="H26" s="8" t="s">
        <v>18</v>
      </c>
    </row>
    <row r="27" spans="1:8">
      <c r="A27" s="8"/>
      <c r="B27" s="9">
        <v>0</v>
      </c>
      <c r="C27" s="10">
        <v>1</v>
      </c>
      <c r="D27" s="10">
        <v>0</v>
      </c>
      <c r="E27" s="8"/>
      <c r="F27" s="3">
        <f t="shared" si="0"/>
        <v>0</v>
      </c>
      <c r="G27" s="8"/>
      <c r="H27" s="8" t="s">
        <v>18</v>
      </c>
    </row>
    <row r="28" spans="1:8">
      <c r="A28" s="8"/>
      <c r="B28" s="9">
        <v>0</v>
      </c>
      <c r="C28" s="10">
        <v>1</v>
      </c>
      <c r="D28" s="10">
        <v>0</v>
      </c>
      <c r="E28" s="8"/>
      <c r="F28" s="3">
        <f t="shared" si="0"/>
        <v>0</v>
      </c>
      <c r="G28" s="8"/>
      <c r="H28" s="8" t="s">
        <v>18</v>
      </c>
    </row>
    <row r="29" spans="1:8">
      <c r="A29" s="8"/>
      <c r="B29" s="9">
        <v>0</v>
      </c>
      <c r="C29" s="10">
        <v>1</v>
      </c>
      <c r="D29" s="10">
        <v>0</v>
      </c>
      <c r="E29" s="8"/>
      <c r="F29" s="3">
        <f t="shared" si="0"/>
        <v>0</v>
      </c>
      <c r="G29" s="8"/>
      <c r="H29" s="8" t="s">
        <v>18</v>
      </c>
    </row>
    <row r="30" spans="1:8">
      <c r="A30" s="8"/>
      <c r="B30" s="9">
        <v>0</v>
      </c>
      <c r="C30" s="10">
        <v>1</v>
      </c>
      <c r="D30" s="10">
        <v>0</v>
      </c>
      <c r="E30" s="8"/>
      <c r="F30" s="3">
        <f t="shared" si="0"/>
        <v>0</v>
      </c>
      <c r="G30" s="8"/>
      <c r="H30" s="8" t="s">
        <v>18</v>
      </c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 ht="15">
      <c r="A32" s="17" t="s">
        <v>24</v>
      </c>
      <c r="B32" s="17"/>
      <c r="C32" s="17"/>
      <c r="D32" s="17"/>
      <c r="E32" s="1"/>
      <c r="F32" s="1"/>
      <c r="G32" s="1"/>
      <c r="H32" s="1"/>
    </row>
    <row r="33" spans="1:8" ht="15">
      <c r="A33" s="11" t="s">
        <v>25</v>
      </c>
      <c r="B33" s="3">
        <f>SUM(F11:F30)</f>
        <v>362</v>
      </c>
      <c r="C33" s="1"/>
      <c r="D33" s="16" t="s">
        <v>26</v>
      </c>
      <c r="E33" s="16"/>
      <c r="F33" s="16"/>
      <c r="G33" s="1"/>
      <c r="H33" s="1"/>
    </row>
    <row r="34" spans="1:8" ht="29.25">
      <c r="A34" s="11" t="s">
        <v>5</v>
      </c>
      <c r="B34" s="3">
        <f>B7</f>
        <v>1500</v>
      </c>
      <c r="C34" s="1"/>
      <c r="D34" s="1" t="s">
        <v>27</v>
      </c>
      <c r="E34" s="3">
        <f>B38</f>
        <v>488.77499999999998</v>
      </c>
      <c r="F34" s="1"/>
      <c r="G34" s="1"/>
      <c r="H34" s="1"/>
    </row>
    <row r="35" spans="1:8" ht="29.25">
      <c r="A35" s="11" t="s">
        <v>28</v>
      </c>
      <c r="B35" s="3">
        <f>B33+B34</f>
        <v>1862</v>
      </c>
      <c r="C35" s="1"/>
      <c r="D35" s="1" t="s">
        <v>29</v>
      </c>
      <c r="E35" s="12">
        <f>IFERROR(E34/B42,0)</f>
        <v>0.19550999999999999</v>
      </c>
      <c r="F35" s="1"/>
      <c r="G35" s="1"/>
      <c r="H35" s="1"/>
    </row>
    <row r="36" spans="1:8" ht="29.25">
      <c r="A36" s="11" t="s">
        <v>30</v>
      </c>
      <c r="B36" s="3">
        <f>B35*Config!B6</f>
        <v>93.100000000000009</v>
      </c>
      <c r="C36" s="1"/>
      <c r="D36" s="1" t="s">
        <v>31</v>
      </c>
      <c r="E36" s="12">
        <f>IFERROR(B42/B5,0)</f>
        <v>2500</v>
      </c>
      <c r="F36" s="1"/>
      <c r="G36" s="1"/>
      <c r="H36" s="1"/>
    </row>
    <row r="37" spans="1:8" ht="29.25">
      <c r="A37" s="11" t="s">
        <v>32</v>
      </c>
      <c r="B37" s="3">
        <f>B35+B36</f>
        <v>1955.1</v>
      </c>
      <c r="C37" s="1"/>
      <c r="D37" s="1" t="s">
        <v>33</v>
      </c>
      <c r="E37" s="12">
        <f>IFERROR(B33/B42,0)</f>
        <v>0.14480000000000001</v>
      </c>
      <c r="F37" s="1"/>
      <c r="G37" s="1"/>
      <c r="H37" s="1"/>
    </row>
    <row r="38" spans="1:8" ht="29.25">
      <c r="A38" s="11" t="s">
        <v>34</v>
      </c>
      <c r="B38" s="3">
        <f>B37*Config!B5</f>
        <v>488.77499999999998</v>
      </c>
      <c r="C38" s="1"/>
      <c r="D38" s="1" t="s">
        <v>35</v>
      </c>
      <c r="E38" s="12">
        <f>IFERROR(B34/B42,0)</f>
        <v>0.6</v>
      </c>
      <c r="F38" s="1"/>
      <c r="G38" s="1"/>
      <c r="H38" s="1"/>
    </row>
    <row r="39" spans="1:8" ht="15">
      <c r="A39" s="11" t="s">
        <v>36</v>
      </c>
      <c r="B39" s="3">
        <f>B37+B38</f>
        <v>2443.875</v>
      </c>
      <c r="C39" s="1"/>
      <c r="D39" s="1"/>
      <c r="E39" s="1"/>
      <c r="F39" s="1"/>
      <c r="G39" s="1"/>
      <c r="H39" s="1"/>
    </row>
    <row r="40" spans="1:8" ht="15">
      <c r="A40" s="11" t="s">
        <v>37</v>
      </c>
      <c r="B40" s="3">
        <f>IF(Config!B7=0,0,B39/(1-Config!B7)-B39)</f>
        <v>0</v>
      </c>
      <c r="C40" s="1"/>
      <c r="D40" s="16" t="s">
        <v>38</v>
      </c>
      <c r="E40" s="16"/>
      <c r="F40" s="16"/>
      <c r="G40" s="16"/>
      <c r="H40" s="16"/>
    </row>
    <row r="41" spans="1:8" ht="15">
      <c r="A41" s="11" t="s">
        <v>39</v>
      </c>
      <c r="B41" s="3">
        <f>B39+B40</f>
        <v>2443.875</v>
      </c>
      <c r="C41" s="1"/>
      <c r="D41" s="18" t="s">
        <v>40</v>
      </c>
      <c r="E41" s="18"/>
      <c r="F41" s="18"/>
      <c r="G41" s="18"/>
      <c r="H41" s="18"/>
    </row>
    <row r="42" spans="1:8" ht="16.5">
      <c r="A42" s="13" t="s">
        <v>41</v>
      </c>
      <c r="B42" s="14">
        <f>ROUNDUP(B41/Config!B8,0)*Config!B8</f>
        <v>2500</v>
      </c>
      <c r="C42" s="1"/>
      <c r="D42" s="18"/>
      <c r="E42" s="18"/>
      <c r="F42" s="18"/>
      <c r="G42" s="18"/>
      <c r="H42" s="18"/>
    </row>
    <row r="43" spans="1:8">
      <c r="A43" s="1"/>
      <c r="B43" s="1"/>
      <c r="C43" s="1"/>
      <c r="D43" s="18"/>
      <c r="E43" s="18"/>
      <c r="F43" s="18"/>
      <c r="G43" s="18"/>
      <c r="H43" s="18"/>
    </row>
    <row r="44" spans="1:8">
      <c r="A44" s="1"/>
      <c r="B44" s="1"/>
      <c r="C44" s="1"/>
      <c r="D44" s="18"/>
      <c r="E44" s="18"/>
      <c r="F44" s="18"/>
      <c r="G44" s="18"/>
      <c r="H44" s="18"/>
    </row>
    <row r="45" spans="1:8">
      <c r="A45" s="1"/>
      <c r="B45" s="1"/>
      <c r="C45" s="1"/>
      <c r="D45" s="18"/>
      <c r="E45" s="18"/>
      <c r="F45" s="18"/>
      <c r="G45" s="18"/>
      <c r="H45" s="18"/>
    </row>
  </sheetData>
  <mergeCells count="6">
    <mergeCell ref="D41:H45"/>
    <mergeCell ref="A1:H1"/>
    <mergeCell ref="A9:H9"/>
    <mergeCell ref="A32:D32"/>
    <mergeCell ref="D33:F33"/>
    <mergeCell ref="D40:H40"/>
  </mergeCells>
  <dataValidations count="1">
    <dataValidation type="list" sqref="H11:H30" xr:uid="{9C07ED6C-F85C-4124-B0CC-37EB0D4A5686}">
      <formula1>"Material,Accesorio,Empaque,Otro"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11A4-C42D-4780-BA6C-2B464CE4630B}">
  <dimension ref="A1:H45"/>
  <sheetViews>
    <sheetView tabSelected="1" topLeftCell="A6" workbookViewId="0">
      <selection activeCell="D11" sqref="D11"/>
    </sheetView>
  </sheetViews>
  <sheetFormatPr baseColWidth="10" defaultColWidth="9" defaultRowHeight="14.25"/>
  <cols>
    <col min="1" max="1" width="28" customWidth="1"/>
    <col min="2" max="4" width="16" customWidth="1"/>
    <col min="5" max="5" width="12" customWidth="1"/>
    <col min="6" max="6" width="16" customWidth="1"/>
    <col min="7" max="7" width="28" customWidth="1"/>
    <col min="8" max="8" width="14" customWidth="1"/>
  </cols>
  <sheetData>
    <row r="1" spans="1:8" ht="20.25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1"/>
      <c r="B2" s="1"/>
      <c r="C2" s="1"/>
      <c r="D2" s="1"/>
      <c r="E2" s="1"/>
      <c r="F2" s="1"/>
      <c r="G2" s="1"/>
      <c r="H2" s="1"/>
    </row>
    <row r="3" spans="1:8" ht="15">
      <c r="A3" s="2" t="s">
        <v>1</v>
      </c>
      <c r="B3" s="2"/>
      <c r="C3" s="1"/>
      <c r="D3" s="1"/>
      <c r="E3" s="1"/>
      <c r="F3" s="1"/>
      <c r="G3" s="1"/>
      <c r="H3" s="1"/>
    </row>
    <row r="4" spans="1:8">
      <c r="A4" s="1" t="s">
        <v>2</v>
      </c>
      <c r="B4" s="6" t="s">
        <v>54</v>
      </c>
      <c r="C4" s="1"/>
      <c r="D4" s="1"/>
      <c r="E4" s="1"/>
      <c r="F4" s="1"/>
      <c r="G4" s="1"/>
      <c r="H4" s="1"/>
    </row>
    <row r="5" spans="1:8">
      <c r="A5" s="1" t="s">
        <v>3</v>
      </c>
      <c r="B5" s="7">
        <v>1</v>
      </c>
      <c r="C5" s="1"/>
      <c r="D5" s="1"/>
      <c r="E5" s="1"/>
      <c r="F5" s="1"/>
      <c r="G5" s="1"/>
      <c r="H5" s="1"/>
    </row>
    <row r="6" spans="1:8">
      <c r="A6" s="1" t="s">
        <v>4</v>
      </c>
      <c r="B6" s="3">
        <f>Config!B4</f>
        <v>1500</v>
      </c>
      <c r="C6" s="1"/>
      <c r="D6" s="1"/>
      <c r="E6" s="1"/>
      <c r="F6" s="1"/>
      <c r="G6" s="1"/>
      <c r="H6" s="1"/>
    </row>
    <row r="7" spans="1:8">
      <c r="A7" s="1" t="s">
        <v>5</v>
      </c>
      <c r="B7" s="3">
        <f>B5*B6</f>
        <v>1500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 ht="15">
      <c r="A9" s="16" t="s">
        <v>6</v>
      </c>
      <c r="B9" s="16"/>
      <c r="C9" s="16"/>
      <c r="D9" s="16"/>
      <c r="E9" s="16"/>
      <c r="F9" s="16"/>
      <c r="G9" s="16"/>
      <c r="H9" s="16"/>
    </row>
    <row r="10" spans="1:8" ht="30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</row>
    <row r="11" spans="1:8">
      <c r="A11" s="8" t="s">
        <v>15</v>
      </c>
      <c r="B11" s="9">
        <v>2600</v>
      </c>
      <c r="C11" s="10">
        <v>100</v>
      </c>
      <c r="D11" s="10">
        <v>6</v>
      </c>
      <c r="E11" s="8" t="s">
        <v>16</v>
      </c>
      <c r="F11" s="3">
        <f t="shared" ref="F11:F30" si="0">IFERROR((B11/C11)*D11,0)</f>
        <v>156</v>
      </c>
      <c r="G11" s="8" t="s">
        <v>17</v>
      </c>
      <c r="H11" s="8" t="s">
        <v>18</v>
      </c>
    </row>
    <row r="12" spans="1:8">
      <c r="A12" s="8" t="s">
        <v>19</v>
      </c>
      <c r="B12" s="9">
        <v>0</v>
      </c>
      <c r="C12" s="10">
        <v>0</v>
      </c>
      <c r="D12" s="10">
        <v>0</v>
      </c>
      <c r="E12" s="8" t="s">
        <v>16</v>
      </c>
      <c r="F12" s="3">
        <f t="shared" si="0"/>
        <v>0</v>
      </c>
      <c r="G12" s="8"/>
      <c r="H12" s="8" t="s">
        <v>18</v>
      </c>
    </row>
    <row r="13" spans="1:8">
      <c r="A13" s="8" t="s">
        <v>20</v>
      </c>
      <c r="B13" s="9">
        <v>0</v>
      </c>
      <c r="C13" s="10">
        <v>1</v>
      </c>
      <c r="D13" s="10">
        <v>0</v>
      </c>
      <c r="E13" s="8" t="s">
        <v>21</v>
      </c>
      <c r="F13" s="3">
        <f t="shared" si="0"/>
        <v>0</v>
      </c>
      <c r="G13" s="8"/>
      <c r="H13" s="8" t="s">
        <v>22</v>
      </c>
    </row>
    <row r="14" spans="1:8">
      <c r="A14" s="8" t="s">
        <v>23</v>
      </c>
      <c r="B14" s="9">
        <v>0</v>
      </c>
      <c r="C14" s="10">
        <v>1</v>
      </c>
      <c r="D14" s="10">
        <v>0</v>
      </c>
      <c r="E14" s="8" t="s">
        <v>21</v>
      </c>
      <c r="F14" s="3">
        <f t="shared" si="0"/>
        <v>0</v>
      </c>
      <c r="G14" s="8"/>
      <c r="H14" s="8" t="s">
        <v>22</v>
      </c>
    </row>
    <row r="15" spans="1:8">
      <c r="A15" s="8" t="s">
        <v>53</v>
      </c>
      <c r="B15" s="9">
        <v>0</v>
      </c>
      <c r="C15" s="10">
        <v>0</v>
      </c>
      <c r="D15" s="10">
        <v>0</v>
      </c>
      <c r="E15" s="8" t="s">
        <v>21</v>
      </c>
      <c r="F15" s="3">
        <f t="shared" si="0"/>
        <v>0</v>
      </c>
      <c r="G15" s="8"/>
      <c r="H15" s="8" t="s">
        <v>18</v>
      </c>
    </row>
    <row r="16" spans="1:8">
      <c r="A16" s="8"/>
      <c r="B16" s="9">
        <v>0</v>
      </c>
      <c r="C16" s="10">
        <v>1</v>
      </c>
      <c r="D16" s="10">
        <v>0</v>
      </c>
      <c r="E16" s="8"/>
      <c r="F16" s="3">
        <f t="shared" si="0"/>
        <v>0</v>
      </c>
      <c r="G16" s="8"/>
      <c r="H16" s="8" t="s">
        <v>18</v>
      </c>
    </row>
    <row r="17" spans="1:8">
      <c r="A17" s="8"/>
      <c r="B17" s="9">
        <v>0</v>
      </c>
      <c r="C17" s="10">
        <v>1</v>
      </c>
      <c r="D17" s="10">
        <v>0</v>
      </c>
      <c r="E17" s="8"/>
      <c r="F17" s="3">
        <f t="shared" si="0"/>
        <v>0</v>
      </c>
      <c r="G17" s="8"/>
      <c r="H17" s="8" t="s">
        <v>18</v>
      </c>
    </row>
    <row r="18" spans="1:8">
      <c r="A18" s="8"/>
      <c r="B18" s="9">
        <v>0</v>
      </c>
      <c r="C18" s="10">
        <v>1</v>
      </c>
      <c r="D18" s="10">
        <v>0</v>
      </c>
      <c r="E18" s="8"/>
      <c r="F18" s="3">
        <f t="shared" si="0"/>
        <v>0</v>
      </c>
      <c r="G18" s="8"/>
      <c r="H18" s="8" t="s">
        <v>18</v>
      </c>
    </row>
    <row r="19" spans="1:8">
      <c r="A19" s="8"/>
      <c r="B19" s="9">
        <v>0</v>
      </c>
      <c r="C19" s="10">
        <v>1</v>
      </c>
      <c r="D19" s="10">
        <v>0</v>
      </c>
      <c r="E19" s="8"/>
      <c r="F19" s="3">
        <f t="shared" si="0"/>
        <v>0</v>
      </c>
      <c r="G19" s="8"/>
      <c r="H19" s="8" t="s">
        <v>18</v>
      </c>
    </row>
    <row r="20" spans="1:8">
      <c r="A20" s="8"/>
      <c r="B20" s="9">
        <v>0</v>
      </c>
      <c r="C20" s="10">
        <v>1</v>
      </c>
      <c r="D20" s="10">
        <v>0</v>
      </c>
      <c r="E20" s="8"/>
      <c r="F20" s="3">
        <f t="shared" si="0"/>
        <v>0</v>
      </c>
      <c r="G20" s="8"/>
      <c r="H20" s="8" t="s">
        <v>18</v>
      </c>
    </row>
    <row r="21" spans="1:8">
      <c r="A21" s="8"/>
      <c r="B21" s="9">
        <v>0</v>
      </c>
      <c r="C21" s="10">
        <v>1</v>
      </c>
      <c r="D21" s="10">
        <v>0</v>
      </c>
      <c r="E21" s="8"/>
      <c r="F21" s="3">
        <f t="shared" si="0"/>
        <v>0</v>
      </c>
      <c r="G21" s="8"/>
      <c r="H21" s="8" t="s">
        <v>18</v>
      </c>
    </row>
    <row r="22" spans="1:8">
      <c r="A22" s="8"/>
      <c r="B22" s="9">
        <v>0</v>
      </c>
      <c r="C22" s="10">
        <v>1</v>
      </c>
      <c r="D22" s="10">
        <v>0</v>
      </c>
      <c r="E22" s="8"/>
      <c r="F22" s="3">
        <f t="shared" si="0"/>
        <v>0</v>
      </c>
      <c r="G22" s="8"/>
      <c r="H22" s="8" t="s">
        <v>18</v>
      </c>
    </row>
    <row r="23" spans="1:8">
      <c r="A23" s="8"/>
      <c r="B23" s="9">
        <v>0</v>
      </c>
      <c r="C23" s="10">
        <v>1</v>
      </c>
      <c r="D23" s="10">
        <v>0</v>
      </c>
      <c r="E23" s="8"/>
      <c r="F23" s="3">
        <f t="shared" si="0"/>
        <v>0</v>
      </c>
      <c r="G23" s="8"/>
      <c r="H23" s="8" t="s">
        <v>18</v>
      </c>
    </row>
    <row r="24" spans="1:8">
      <c r="A24" s="8"/>
      <c r="B24" s="9">
        <v>0</v>
      </c>
      <c r="C24" s="10">
        <v>1</v>
      </c>
      <c r="D24" s="10">
        <v>0</v>
      </c>
      <c r="E24" s="8"/>
      <c r="F24" s="3">
        <f t="shared" si="0"/>
        <v>0</v>
      </c>
      <c r="G24" s="8"/>
      <c r="H24" s="8" t="s">
        <v>18</v>
      </c>
    </row>
    <row r="25" spans="1:8">
      <c r="A25" s="8"/>
      <c r="B25" s="9">
        <v>0</v>
      </c>
      <c r="C25" s="10">
        <v>1</v>
      </c>
      <c r="D25" s="10">
        <v>0</v>
      </c>
      <c r="E25" s="8"/>
      <c r="F25" s="3">
        <f t="shared" si="0"/>
        <v>0</v>
      </c>
      <c r="G25" s="8"/>
      <c r="H25" s="8" t="s">
        <v>18</v>
      </c>
    </row>
    <row r="26" spans="1:8">
      <c r="A26" s="8"/>
      <c r="B26" s="9">
        <v>0</v>
      </c>
      <c r="C26" s="10">
        <v>1</v>
      </c>
      <c r="D26" s="10">
        <v>0</v>
      </c>
      <c r="E26" s="8"/>
      <c r="F26" s="3">
        <f t="shared" si="0"/>
        <v>0</v>
      </c>
      <c r="G26" s="8"/>
      <c r="H26" s="8" t="s">
        <v>18</v>
      </c>
    </row>
    <row r="27" spans="1:8">
      <c r="A27" s="8"/>
      <c r="B27" s="9">
        <v>0</v>
      </c>
      <c r="C27" s="10">
        <v>1</v>
      </c>
      <c r="D27" s="10">
        <v>0</v>
      </c>
      <c r="E27" s="8"/>
      <c r="F27" s="3">
        <f t="shared" si="0"/>
        <v>0</v>
      </c>
      <c r="G27" s="8"/>
      <c r="H27" s="8" t="s">
        <v>18</v>
      </c>
    </row>
    <row r="28" spans="1:8">
      <c r="A28" s="8"/>
      <c r="B28" s="9">
        <v>0</v>
      </c>
      <c r="C28" s="10">
        <v>1</v>
      </c>
      <c r="D28" s="10">
        <v>0</v>
      </c>
      <c r="E28" s="8"/>
      <c r="F28" s="3">
        <f t="shared" si="0"/>
        <v>0</v>
      </c>
      <c r="G28" s="8"/>
      <c r="H28" s="8" t="s">
        <v>18</v>
      </c>
    </row>
    <row r="29" spans="1:8">
      <c r="A29" s="8"/>
      <c r="B29" s="9">
        <v>0</v>
      </c>
      <c r="C29" s="10">
        <v>1</v>
      </c>
      <c r="D29" s="10">
        <v>0</v>
      </c>
      <c r="E29" s="8"/>
      <c r="F29" s="3">
        <f t="shared" si="0"/>
        <v>0</v>
      </c>
      <c r="G29" s="8"/>
      <c r="H29" s="8" t="s">
        <v>18</v>
      </c>
    </row>
    <row r="30" spans="1:8">
      <c r="A30" s="8"/>
      <c r="B30" s="9">
        <v>0</v>
      </c>
      <c r="C30" s="10">
        <v>1</v>
      </c>
      <c r="D30" s="10">
        <v>0</v>
      </c>
      <c r="E30" s="8"/>
      <c r="F30" s="3">
        <f t="shared" si="0"/>
        <v>0</v>
      </c>
      <c r="G30" s="8"/>
      <c r="H30" s="8" t="s">
        <v>18</v>
      </c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 ht="15">
      <c r="A32" s="17" t="s">
        <v>24</v>
      </c>
      <c r="B32" s="17"/>
      <c r="C32" s="17"/>
      <c r="D32" s="17"/>
      <c r="E32" s="1"/>
      <c r="F32" s="1"/>
      <c r="G32" s="1"/>
      <c r="H32" s="1"/>
    </row>
    <row r="33" spans="1:8" ht="15">
      <c r="A33" s="11" t="s">
        <v>25</v>
      </c>
      <c r="B33" s="3">
        <f>SUM(F11:F30)</f>
        <v>156</v>
      </c>
      <c r="C33" s="1"/>
      <c r="D33" s="16" t="s">
        <v>26</v>
      </c>
      <c r="E33" s="16"/>
      <c r="F33" s="16"/>
      <c r="G33" s="1"/>
      <c r="H33" s="1"/>
    </row>
    <row r="34" spans="1:8" ht="29.25">
      <c r="A34" s="11" t="s">
        <v>5</v>
      </c>
      <c r="B34" s="3">
        <f>B7</f>
        <v>1500</v>
      </c>
      <c r="C34" s="1"/>
      <c r="D34" s="1" t="s">
        <v>27</v>
      </c>
      <c r="E34" s="3">
        <f>B38</f>
        <v>434.7</v>
      </c>
      <c r="F34" s="1"/>
      <c r="G34" s="1"/>
      <c r="H34" s="1"/>
    </row>
    <row r="35" spans="1:8" ht="29.25">
      <c r="A35" s="11" t="s">
        <v>28</v>
      </c>
      <c r="B35" s="3">
        <f>B33+B34</f>
        <v>1656</v>
      </c>
      <c r="C35" s="1"/>
      <c r="D35" s="1" t="s">
        <v>29</v>
      </c>
      <c r="E35" s="12">
        <f>IFERROR(E34/B42,0)</f>
        <v>0.17388000000000001</v>
      </c>
      <c r="F35" s="1"/>
      <c r="G35" s="1"/>
      <c r="H35" s="1"/>
    </row>
    <row r="36" spans="1:8" ht="29.25">
      <c r="A36" s="11" t="s">
        <v>30</v>
      </c>
      <c r="B36" s="3">
        <f>B35*Config!B6</f>
        <v>82.800000000000011</v>
      </c>
      <c r="C36" s="1"/>
      <c r="D36" s="1" t="s">
        <v>31</v>
      </c>
      <c r="E36" s="12">
        <f>IFERROR(B42/B5,0)</f>
        <v>2500</v>
      </c>
      <c r="F36" s="1"/>
      <c r="G36" s="1"/>
      <c r="H36" s="1"/>
    </row>
    <row r="37" spans="1:8" ht="29.25">
      <c r="A37" s="11" t="s">
        <v>32</v>
      </c>
      <c r="B37" s="3">
        <f>B35+B36</f>
        <v>1738.8</v>
      </c>
      <c r="C37" s="1"/>
      <c r="D37" s="1" t="s">
        <v>33</v>
      </c>
      <c r="E37" s="12">
        <f>IFERROR(B33/B42,0)</f>
        <v>6.2399999999999997E-2</v>
      </c>
      <c r="F37" s="1"/>
      <c r="G37" s="1"/>
      <c r="H37" s="1"/>
    </row>
    <row r="38" spans="1:8" ht="29.25">
      <c r="A38" s="11" t="s">
        <v>34</v>
      </c>
      <c r="B38" s="3">
        <f>B37*Config!B5</f>
        <v>434.7</v>
      </c>
      <c r="C38" s="1"/>
      <c r="D38" s="1" t="s">
        <v>35</v>
      </c>
      <c r="E38" s="12">
        <f>IFERROR(B34/B42,0)</f>
        <v>0.6</v>
      </c>
      <c r="F38" s="1"/>
      <c r="G38" s="1"/>
      <c r="H38" s="1"/>
    </row>
    <row r="39" spans="1:8" ht="15">
      <c r="A39" s="11" t="s">
        <v>36</v>
      </c>
      <c r="B39" s="3">
        <f>B37+B38</f>
        <v>2173.5</v>
      </c>
      <c r="C39" s="1"/>
      <c r="D39" s="1"/>
      <c r="E39" s="1"/>
      <c r="F39" s="1"/>
      <c r="G39" s="1"/>
      <c r="H39" s="1"/>
    </row>
    <row r="40" spans="1:8" ht="15">
      <c r="A40" s="11" t="s">
        <v>37</v>
      </c>
      <c r="B40" s="3">
        <f>IF(Config!B7=0,0,B39/(1-Config!B7)-B39)</f>
        <v>0</v>
      </c>
      <c r="C40" s="1"/>
      <c r="D40" s="16" t="s">
        <v>38</v>
      </c>
      <c r="E40" s="16"/>
      <c r="F40" s="16"/>
      <c r="G40" s="16"/>
      <c r="H40" s="16"/>
    </row>
    <row r="41" spans="1:8" ht="15">
      <c r="A41" s="11" t="s">
        <v>39</v>
      </c>
      <c r="B41" s="3">
        <f>B39+B40</f>
        <v>2173.5</v>
      </c>
      <c r="C41" s="1"/>
      <c r="D41" s="18" t="s">
        <v>40</v>
      </c>
      <c r="E41" s="18"/>
      <c r="F41" s="18"/>
      <c r="G41" s="18"/>
      <c r="H41" s="18"/>
    </row>
    <row r="42" spans="1:8" ht="16.5">
      <c r="A42" s="13" t="s">
        <v>41</v>
      </c>
      <c r="B42" s="14">
        <f>ROUNDUP(B41/Config!B8,0)*Config!B8</f>
        <v>2500</v>
      </c>
      <c r="C42" s="1"/>
      <c r="D42" s="18"/>
      <c r="E42" s="18"/>
      <c r="F42" s="18"/>
      <c r="G42" s="18"/>
      <c r="H42" s="18"/>
    </row>
    <row r="43" spans="1:8">
      <c r="A43" s="1"/>
      <c r="B43" s="1"/>
      <c r="C43" s="1"/>
      <c r="D43" s="18"/>
      <c r="E43" s="18"/>
      <c r="F43" s="18"/>
      <c r="G43" s="18"/>
      <c r="H43" s="18"/>
    </row>
    <row r="44" spans="1:8">
      <c r="A44" s="1"/>
      <c r="B44" s="1"/>
      <c r="C44" s="1"/>
      <c r="D44" s="18"/>
      <c r="E44" s="18"/>
      <c r="F44" s="18"/>
      <c r="G44" s="18"/>
      <c r="H44" s="18"/>
    </row>
    <row r="45" spans="1:8">
      <c r="A45" s="1"/>
      <c r="B45" s="1"/>
      <c r="C45" s="1"/>
      <c r="D45" s="18"/>
      <c r="E45" s="18"/>
      <c r="F45" s="18"/>
      <c r="G45" s="18"/>
      <c r="H45" s="18"/>
    </row>
  </sheetData>
  <mergeCells count="6">
    <mergeCell ref="D41:H45"/>
    <mergeCell ref="A1:H1"/>
    <mergeCell ref="A9:H9"/>
    <mergeCell ref="A32:D32"/>
    <mergeCell ref="D33:F33"/>
    <mergeCell ref="D40:H40"/>
  </mergeCells>
  <dataValidations count="1">
    <dataValidation type="list" sqref="H11:H30" xr:uid="{B2AD6AC7-49E4-4741-B6B9-5D4F22488123}">
      <formula1>"Material,Accesorio,Empaque,Otro"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workbookViewId="0">
      <selection activeCell="D17" sqref="D17"/>
    </sheetView>
  </sheetViews>
  <sheetFormatPr baseColWidth="10" defaultColWidth="9" defaultRowHeight="14.25"/>
  <cols>
    <col min="1" max="1" width="28" customWidth="1"/>
    <col min="2" max="4" width="16" customWidth="1"/>
    <col min="5" max="5" width="12" customWidth="1"/>
    <col min="6" max="6" width="16" customWidth="1"/>
    <col min="7" max="7" width="28" customWidth="1"/>
    <col min="8" max="8" width="14" customWidth="1"/>
  </cols>
  <sheetData>
    <row r="1" spans="1:8" ht="20.25">
      <c r="A1" s="15" t="s">
        <v>0</v>
      </c>
      <c r="B1" s="15"/>
      <c r="C1" s="15"/>
      <c r="D1" s="15"/>
      <c r="E1" s="15"/>
      <c r="F1" s="15"/>
      <c r="G1" s="15"/>
      <c r="H1" s="15"/>
    </row>
    <row r="2" spans="1:8">
      <c r="A2" s="1"/>
      <c r="B2" s="1"/>
      <c r="C2" s="1"/>
      <c r="D2" s="1"/>
      <c r="E2" s="1"/>
      <c r="F2" s="1"/>
      <c r="G2" s="1"/>
      <c r="H2" s="1"/>
    </row>
    <row r="3" spans="1:8" ht="15">
      <c r="A3" s="2" t="s">
        <v>1</v>
      </c>
      <c r="B3" s="2"/>
      <c r="C3" s="1"/>
      <c r="D3" s="1"/>
      <c r="E3" s="1"/>
      <c r="F3" s="1"/>
      <c r="G3" s="1"/>
      <c r="H3" s="1"/>
    </row>
    <row r="4" spans="1:8">
      <c r="A4" s="1" t="s">
        <v>2</v>
      </c>
      <c r="B4" s="6" t="s">
        <v>52</v>
      </c>
      <c r="C4" s="1"/>
      <c r="D4" s="1"/>
      <c r="E4" s="1"/>
      <c r="F4" s="1"/>
      <c r="G4" s="1"/>
      <c r="H4" s="1"/>
    </row>
    <row r="5" spans="1:8">
      <c r="A5" s="1" t="s">
        <v>3</v>
      </c>
      <c r="B5" s="7">
        <v>2</v>
      </c>
      <c r="C5" s="1"/>
      <c r="D5" s="1"/>
      <c r="E5" s="1"/>
      <c r="F5" s="1"/>
      <c r="G5" s="1"/>
      <c r="H5" s="1"/>
    </row>
    <row r="6" spans="1:8">
      <c r="A6" s="1" t="s">
        <v>4</v>
      </c>
      <c r="B6" s="3">
        <f>Config!B4</f>
        <v>1500</v>
      </c>
      <c r="C6" s="1"/>
      <c r="D6" s="1"/>
      <c r="E6" s="1"/>
      <c r="F6" s="1"/>
      <c r="G6" s="1"/>
      <c r="H6" s="1"/>
    </row>
    <row r="7" spans="1:8">
      <c r="A7" s="1" t="s">
        <v>5</v>
      </c>
      <c r="B7" s="3">
        <f>B5*B6</f>
        <v>3000</v>
      </c>
      <c r="C7" s="1"/>
      <c r="D7" s="1"/>
      <c r="E7" s="1"/>
      <c r="F7" s="1"/>
      <c r="G7" s="1"/>
      <c r="H7" s="1"/>
    </row>
    <row r="8" spans="1:8">
      <c r="A8" s="1"/>
      <c r="B8" s="1"/>
      <c r="C8" s="1"/>
      <c r="D8" s="1"/>
      <c r="E8" s="1"/>
      <c r="F8" s="1"/>
      <c r="G8" s="1"/>
      <c r="H8" s="1"/>
    </row>
    <row r="9" spans="1:8" ht="15">
      <c r="A9" s="16" t="s">
        <v>6</v>
      </c>
      <c r="B9" s="16"/>
      <c r="C9" s="16"/>
      <c r="D9" s="16"/>
      <c r="E9" s="16"/>
      <c r="F9" s="16"/>
      <c r="G9" s="16"/>
      <c r="H9" s="16"/>
    </row>
    <row r="10" spans="1:8" ht="30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</row>
    <row r="11" spans="1:8">
      <c r="A11" s="8" t="s">
        <v>15</v>
      </c>
      <c r="B11" s="9">
        <v>2600</v>
      </c>
      <c r="C11" s="10">
        <v>100</v>
      </c>
      <c r="D11" s="10">
        <v>16</v>
      </c>
      <c r="E11" s="8" t="s">
        <v>16</v>
      </c>
      <c r="F11" s="3">
        <f t="shared" ref="F11:F30" si="0">IFERROR((B11/C11)*D11,0)</f>
        <v>416</v>
      </c>
      <c r="G11" s="8" t="s">
        <v>17</v>
      </c>
      <c r="H11" s="8" t="s">
        <v>18</v>
      </c>
    </row>
    <row r="12" spans="1:8">
      <c r="A12" s="8" t="s">
        <v>19</v>
      </c>
      <c r="B12" s="9">
        <v>0</v>
      </c>
      <c r="C12" s="10">
        <v>0</v>
      </c>
      <c r="D12" s="10">
        <v>0</v>
      </c>
      <c r="E12" s="8" t="s">
        <v>16</v>
      </c>
      <c r="F12" s="3">
        <f t="shared" si="0"/>
        <v>0</v>
      </c>
      <c r="G12" s="8"/>
      <c r="H12" s="8" t="s">
        <v>18</v>
      </c>
    </row>
    <row r="13" spans="1:8">
      <c r="A13" s="8" t="s">
        <v>20</v>
      </c>
      <c r="B13" s="9">
        <v>0</v>
      </c>
      <c r="C13" s="10">
        <v>1</v>
      </c>
      <c r="D13" s="10">
        <v>0</v>
      </c>
      <c r="E13" s="8" t="s">
        <v>21</v>
      </c>
      <c r="F13" s="3">
        <f t="shared" si="0"/>
        <v>0</v>
      </c>
      <c r="G13" s="8"/>
      <c r="H13" s="8" t="s">
        <v>22</v>
      </c>
    </row>
    <row r="14" spans="1:8">
      <c r="A14" s="8" t="s">
        <v>23</v>
      </c>
      <c r="B14" s="9">
        <v>0</v>
      </c>
      <c r="C14" s="10">
        <v>1</v>
      </c>
      <c r="D14" s="10">
        <v>0</v>
      </c>
      <c r="E14" s="8" t="s">
        <v>21</v>
      </c>
      <c r="F14" s="3">
        <f t="shared" si="0"/>
        <v>0</v>
      </c>
      <c r="G14" s="8"/>
      <c r="H14" s="8" t="s">
        <v>22</v>
      </c>
    </row>
    <row r="15" spans="1:8">
      <c r="A15" s="8" t="s">
        <v>53</v>
      </c>
      <c r="B15" s="9">
        <v>625</v>
      </c>
      <c r="C15" s="10">
        <v>30</v>
      </c>
      <c r="D15" s="10">
        <v>2</v>
      </c>
      <c r="E15" s="8" t="s">
        <v>21</v>
      </c>
      <c r="F15" s="3">
        <f t="shared" si="0"/>
        <v>41.666666666666664</v>
      </c>
      <c r="G15" s="8"/>
      <c r="H15" s="8" t="s">
        <v>18</v>
      </c>
    </row>
    <row r="16" spans="1:8">
      <c r="A16" s="8" t="s">
        <v>55</v>
      </c>
      <c r="B16" s="9">
        <v>250</v>
      </c>
      <c r="C16" s="10">
        <v>5</v>
      </c>
      <c r="D16" s="10">
        <v>1</v>
      </c>
      <c r="E16" s="8"/>
      <c r="F16" s="3">
        <f t="shared" si="0"/>
        <v>50</v>
      </c>
      <c r="G16" s="8"/>
      <c r="H16" s="8" t="s">
        <v>18</v>
      </c>
    </row>
    <row r="17" spans="1:8">
      <c r="A17" s="8"/>
      <c r="B17" s="9">
        <v>0</v>
      </c>
      <c r="C17" s="10">
        <v>1</v>
      </c>
      <c r="D17" s="10">
        <v>0</v>
      </c>
      <c r="E17" s="8"/>
      <c r="F17" s="3">
        <f t="shared" si="0"/>
        <v>0</v>
      </c>
      <c r="G17" s="8"/>
      <c r="H17" s="8" t="s">
        <v>18</v>
      </c>
    </row>
    <row r="18" spans="1:8">
      <c r="A18" s="8"/>
      <c r="B18" s="9">
        <v>0</v>
      </c>
      <c r="C18" s="10">
        <v>1</v>
      </c>
      <c r="D18" s="10">
        <v>0</v>
      </c>
      <c r="E18" s="8"/>
      <c r="F18" s="3">
        <f t="shared" si="0"/>
        <v>0</v>
      </c>
      <c r="G18" s="8"/>
      <c r="H18" s="8" t="s">
        <v>18</v>
      </c>
    </row>
    <row r="19" spans="1:8">
      <c r="A19" s="8"/>
      <c r="B19" s="9">
        <v>0</v>
      </c>
      <c r="C19" s="10">
        <v>1</v>
      </c>
      <c r="D19" s="10">
        <v>0</v>
      </c>
      <c r="E19" s="8"/>
      <c r="F19" s="3">
        <f t="shared" si="0"/>
        <v>0</v>
      </c>
      <c r="G19" s="8"/>
      <c r="H19" s="8" t="s">
        <v>18</v>
      </c>
    </row>
    <row r="20" spans="1:8">
      <c r="A20" s="8"/>
      <c r="B20" s="9">
        <v>0</v>
      </c>
      <c r="C20" s="10">
        <v>1</v>
      </c>
      <c r="D20" s="10">
        <v>0</v>
      </c>
      <c r="E20" s="8"/>
      <c r="F20" s="3">
        <f t="shared" si="0"/>
        <v>0</v>
      </c>
      <c r="G20" s="8"/>
      <c r="H20" s="8" t="s">
        <v>18</v>
      </c>
    </row>
    <row r="21" spans="1:8">
      <c r="A21" s="8"/>
      <c r="B21" s="9">
        <v>0</v>
      </c>
      <c r="C21" s="10">
        <v>1</v>
      </c>
      <c r="D21" s="10">
        <v>0</v>
      </c>
      <c r="E21" s="8"/>
      <c r="F21" s="3">
        <f t="shared" si="0"/>
        <v>0</v>
      </c>
      <c r="G21" s="8"/>
      <c r="H21" s="8" t="s">
        <v>18</v>
      </c>
    </row>
    <row r="22" spans="1:8">
      <c r="A22" s="8"/>
      <c r="B22" s="9">
        <v>0</v>
      </c>
      <c r="C22" s="10">
        <v>1</v>
      </c>
      <c r="D22" s="10">
        <v>0</v>
      </c>
      <c r="E22" s="8"/>
      <c r="F22" s="3">
        <f t="shared" si="0"/>
        <v>0</v>
      </c>
      <c r="G22" s="8"/>
      <c r="H22" s="8" t="s">
        <v>18</v>
      </c>
    </row>
    <row r="23" spans="1:8">
      <c r="A23" s="8"/>
      <c r="B23" s="9">
        <v>0</v>
      </c>
      <c r="C23" s="10">
        <v>1</v>
      </c>
      <c r="D23" s="10">
        <v>0</v>
      </c>
      <c r="E23" s="8"/>
      <c r="F23" s="3">
        <f t="shared" si="0"/>
        <v>0</v>
      </c>
      <c r="G23" s="8"/>
      <c r="H23" s="8" t="s">
        <v>18</v>
      </c>
    </row>
    <row r="24" spans="1:8">
      <c r="A24" s="8"/>
      <c r="B24" s="9">
        <v>0</v>
      </c>
      <c r="C24" s="10">
        <v>1</v>
      </c>
      <c r="D24" s="10">
        <v>0</v>
      </c>
      <c r="E24" s="8"/>
      <c r="F24" s="3">
        <f t="shared" si="0"/>
        <v>0</v>
      </c>
      <c r="G24" s="8"/>
      <c r="H24" s="8" t="s">
        <v>18</v>
      </c>
    </row>
    <row r="25" spans="1:8">
      <c r="A25" s="8"/>
      <c r="B25" s="9">
        <v>0</v>
      </c>
      <c r="C25" s="10">
        <v>1</v>
      </c>
      <c r="D25" s="10">
        <v>0</v>
      </c>
      <c r="E25" s="8"/>
      <c r="F25" s="3">
        <f t="shared" si="0"/>
        <v>0</v>
      </c>
      <c r="G25" s="8"/>
      <c r="H25" s="8" t="s">
        <v>18</v>
      </c>
    </row>
    <row r="26" spans="1:8">
      <c r="A26" s="8"/>
      <c r="B26" s="9">
        <v>0</v>
      </c>
      <c r="C26" s="10">
        <v>1</v>
      </c>
      <c r="D26" s="10">
        <v>0</v>
      </c>
      <c r="E26" s="8"/>
      <c r="F26" s="3">
        <f t="shared" si="0"/>
        <v>0</v>
      </c>
      <c r="G26" s="8"/>
      <c r="H26" s="8" t="s">
        <v>18</v>
      </c>
    </row>
    <row r="27" spans="1:8">
      <c r="A27" s="8"/>
      <c r="B27" s="9">
        <v>0</v>
      </c>
      <c r="C27" s="10">
        <v>1</v>
      </c>
      <c r="D27" s="10">
        <v>0</v>
      </c>
      <c r="E27" s="8"/>
      <c r="F27" s="3">
        <f t="shared" si="0"/>
        <v>0</v>
      </c>
      <c r="G27" s="8"/>
      <c r="H27" s="8" t="s">
        <v>18</v>
      </c>
    </row>
    <row r="28" spans="1:8">
      <c r="A28" s="8"/>
      <c r="B28" s="9">
        <v>0</v>
      </c>
      <c r="C28" s="10">
        <v>1</v>
      </c>
      <c r="D28" s="10">
        <v>0</v>
      </c>
      <c r="E28" s="8"/>
      <c r="F28" s="3">
        <f t="shared" si="0"/>
        <v>0</v>
      </c>
      <c r="G28" s="8"/>
      <c r="H28" s="8" t="s">
        <v>18</v>
      </c>
    </row>
    <row r="29" spans="1:8">
      <c r="A29" s="8"/>
      <c r="B29" s="9">
        <v>0</v>
      </c>
      <c r="C29" s="10">
        <v>1</v>
      </c>
      <c r="D29" s="10">
        <v>0</v>
      </c>
      <c r="E29" s="8"/>
      <c r="F29" s="3">
        <f t="shared" si="0"/>
        <v>0</v>
      </c>
      <c r="G29" s="8"/>
      <c r="H29" s="8" t="s">
        <v>18</v>
      </c>
    </row>
    <row r="30" spans="1:8">
      <c r="A30" s="8"/>
      <c r="B30" s="9">
        <v>0</v>
      </c>
      <c r="C30" s="10">
        <v>1</v>
      </c>
      <c r="D30" s="10">
        <v>0</v>
      </c>
      <c r="E30" s="8"/>
      <c r="F30" s="3">
        <f t="shared" si="0"/>
        <v>0</v>
      </c>
      <c r="G30" s="8"/>
      <c r="H30" s="8" t="s">
        <v>18</v>
      </c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 ht="15">
      <c r="A32" s="17" t="s">
        <v>24</v>
      </c>
      <c r="B32" s="17"/>
      <c r="C32" s="17"/>
      <c r="D32" s="17"/>
      <c r="E32" s="1"/>
      <c r="F32" s="1"/>
      <c r="G32" s="1"/>
      <c r="H32" s="1"/>
    </row>
    <row r="33" spans="1:8" ht="15">
      <c r="A33" s="11" t="s">
        <v>25</v>
      </c>
      <c r="B33" s="3">
        <f>SUM(F11:F30)</f>
        <v>507.66666666666669</v>
      </c>
      <c r="C33" s="1"/>
      <c r="D33" s="16" t="s">
        <v>26</v>
      </c>
      <c r="E33" s="16"/>
      <c r="F33" s="16"/>
      <c r="G33" s="1"/>
      <c r="H33" s="1"/>
    </row>
    <row r="34" spans="1:8" ht="29.25">
      <c r="A34" s="11" t="s">
        <v>5</v>
      </c>
      <c r="B34" s="3">
        <f>B7</f>
        <v>3000</v>
      </c>
      <c r="C34" s="1"/>
      <c r="D34" s="1" t="s">
        <v>27</v>
      </c>
      <c r="E34" s="3">
        <f>B38</f>
        <v>920.76249999999993</v>
      </c>
      <c r="F34" s="1"/>
      <c r="G34" s="1"/>
      <c r="H34" s="1"/>
    </row>
    <row r="35" spans="1:8" ht="29.25">
      <c r="A35" s="11" t="s">
        <v>28</v>
      </c>
      <c r="B35" s="3">
        <f>B33+B34</f>
        <v>3507.6666666666665</v>
      </c>
      <c r="C35" s="1"/>
      <c r="D35" s="1" t="s">
        <v>29</v>
      </c>
      <c r="E35" s="12">
        <f>IFERROR(E34/B42,0)</f>
        <v>0.1841525</v>
      </c>
      <c r="F35" s="1"/>
      <c r="G35" s="1"/>
      <c r="H35" s="1"/>
    </row>
    <row r="36" spans="1:8" ht="29.25">
      <c r="A36" s="11" t="s">
        <v>30</v>
      </c>
      <c r="B36" s="3">
        <f>B35*Config!B6</f>
        <v>175.38333333333333</v>
      </c>
      <c r="C36" s="1"/>
      <c r="D36" s="1" t="s">
        <v>31</v>
      </c>
      <c r="E36" s="12">
        <f>IFERROR(B42/B5,0)</f>
        <v>2500</v>
      </c>
      <c r="F36" s="1"/>
      <c r="G36" s="1"/>
      <c r="H36" s="1"/>
    </row>
    <row r="37" spans="1:8" ht="29.25">
      <c r="A37" s="11" t="s">
        <v>32</v>
      </c>
      <c r="B37" s="3">
        <f>B35+B36</f>
        <v>3683.0499999999997</v>
      </c>
      <c r="C37" s="1"/>
      <c r="D37" s="1" t="s">
        <v>33</v>
      </c>
      <c r="E37" s="12">
        <f>IFERROR(B33/B42,0)</f>
        <v>0.10153333333333334</v>
      </c>
      <c r="F37" s="1"/>
      <c r="G37" s="1"/>
      <c r="H37" s="1"/>
    </row>
    <row r="38" spans="1:8" ht="29.25">
      <c r="A38" s="11" t="s">
        <v>34</v>
      </c>
      <c r="B38" s="3">
        <f>B37*Config!B5</f>
        <v>920.76249999999993</v>
      </c>
      <c r="C38" s="1"/>
      <c r="D38" s="1" t="s">
        <v>35</v>
      </c>
      <c r="E38" s="12">
        <f>IFERROR(B34/B42,0)</f>
        <v>0.6</v>
      </c>
      <c r="F38" s="1"/>
      <c r="G38" s="1"/>
      <c r="H38" s="1"/>
    </row>
    <row r="39" spans="1:8" ht="15">
      <c r="A39" s="11" t="s">
        <v>36</v>
      </c>
      <c r="B39" s="3">
        <f>B37+B38</f>
        <v>4603.8125</v>
      </c>
      <c r="C39" s="1"/>
      <c r="D39" s="1"/>
      <c r="E39" s="1"/>
      <c r="F39" s="1"/>
      <c r="G39" s="1"/>
      <c r="H39" s="1"/>
    </row>
    <row r="40" spans="1:8" ht="15">
      <c r="A40" s="11" t="s">
        <v>37</v>
      </c>
      <c r="B40" s="3">
        <f>IF(Config!B7=0,0,B39/(1-Config!B7)-B39)</f>
        <v>0</v>
      </c>
      <c r="C40" s="1"/>
      <c r="D40" s="16" t="s">
        <v>38</v>
      </c>
      <c r="E40" s="16"/>
      <c r="F40" s="16"/>
      <c r="G40" s="16"/>
      <c r="H40" s="16"/>
    </row>
    <row r="41" spans="1:8" ht="15">
      <c r="A41" s="11" t="s">
        <v>39</v>
      </c>
      <c r="B41" s="3">
        <f>B39+B40</f>
        <v>4603.8125</v>
      </c>
      <c r="C41" s="1"/>
      <c r="D41" s="18" t="s">
        <v>40</v>
      </c>
      <c r="E41" s="18"/>
      <c r="F41" s="18"/>
      <c r="G41" s="18"/>
      <c r="H41" s="18"/>
    </row>
    <row r="42" spans="1:8" ht="16.5">
      <c r="A42" s="13" t="s">
        <v>41</v>
      </c>
      <c r="B42" s="14">
        <f>ROUNDUP(B41/Config!B8,0)*Config!B8</f>
        <v>5000</v>
      </c>
      <c r="C42" s="1"/>
      <c r="D42" s="18"/>
      <c r="E42" s="18"/>
      <c r="F42" s="18"/>
      <c r="G42" s="18"/>
      <c r="H42" s="18"/>
    </row>
    <row r="43" spans="1:8">
      <c r="A43" s="1"/>
      <c r="B43" s="1"/>
      <c r="C43" s="1"/>
      <c r="D43" s="18"/>
      <c r="E43" s="18"/>
      <c r="F43" s="18"/>
      <c r="G43" s="18"/>
      <c r="H43" s="18"/>
    </row>
    <row r="44" spans="1:8">
      <c r="A44" s="1"/>
      <c r="B44" s="1"/>
      <c r="C44" s="1"/>
      <c r="D44" s="18"/>
      <c r="E44" s="18"/>
      <c r="F44" s="18"/>
      <c r="G44" s="18"/>
      <c r="H44" s="18"/>
    </row>
    <row r="45" spans="1:8">
      <c r="A45" s="1"/>
      <c r="B45" s="1"/>
      <c r="C45" s="1"/>
      <c r="D45" s="18"/>
      <c r="E45" s="18"/>
      <c r="F45" s="18"/>
      <c r="G45" s="18"/>
      <c r="H45" s="18"/>
    </row>
  </sheetData>
  <mergeCells count="6">
    <mergeCell ref="D41:H45"/>
    <mergeCell ref="A1:H1"/>
    <mergeCell ref="A9:H9"/>
    <mergeCell ref="A32:D32"/>
    <mergeCell ref="D33:F33"/>
    <mergeCell ref="D40:H40"/>
  </mergeCells>
  <dataValidations count="1">
    <dataValidation type="list" sqref="H11:H30" xr:uid="{00000000-0002-0000-0000-000000000000}">
      <formula1>"Material,Accesorio,Empaque,Otro"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sqref="A1:D1"/>
    </sheetView>
  </sheetViews>
  <sheetFormatPr baseColWidth="10" defaultColWidth="9" defaultRowHeight="14.25"/>
  <cols>
    <col min="1" max="1" width="24" customWidth="1"/>
    <col min="2" max="2" width="18" customWidth="1"/>
    <col min="3" max="3" width="3" customWidth="1"/>
    <col min="4" max="4" width="48" customWidth="1"/>
  </cols>
  <sheetData>
    <row r="1" spans="1:4" ht="20.25">
      <c r="A1" s="15" t="s">
        <v>42</v>
      </c>
      <c r="B1" s="15"/>
      <c r="C1" s="15"/>
      <c r="D1" s="15"/>
    </row>
    <row r="2" spans="1:4">
      <c r="A2" s="1"/>
      <c r="B2" s="1"/>
      <c r="C2" s="1"/>
      <c r="D2" s="1"/>
    </row>
    <row r="3" spans="1:4" ht="15">
      <c r="A3" s="2" t="s">
        <v>43</v>
      </c>
      <c r="B3" s="2" t="s">
        <v>44</v>
      </c>
      <c r="C3" s="1"/>
      <c r="D3" s="2" t="s">
        <v>45</v>
      </c>
    </row>
    <row r="4" spans="1:4" ht="28.5">
      <c r="A4" s="1" t="s">
        <v>4</v>
      </c>
      <c r="B4" s="3">
        <v>1500</v>
      </c>
      <c r="C4" s="1"/>
      <c r="D4" s="1" t="s">
        <v>46</v>
      </c>
    </row>
    <row r="5" spans="1:4">
      <c r="A5" s="1" t="s">
        <v>34</v>
      </c>
      <c r="B5" s="4">
        <v>0.25</v>
      </c>
      <c r="C5" s="1"/>
      <c r="D5" s="1" t="s">
        <v>47</v>
      </c>
    </row>
    <row r="6" spans="1:4">
      <c r="A6" s="1" t="s">
        <v>30</v>
      </c>
      <c r="B6" s="4">
        <v>0.05</v>
      </c>
      <c r="C6" s="1"/>
      <c r="D6" s="1" t="s">
        <v>48</v>
      </c>
    </row>
    <row r="7" spans="1:4" ht="28.5">
      <c r="A7" s="1" t="s">
        <v>37</v>
      </c>
      <c r="B7" s="4">
        <v>0</v>
      </c>
      <c r="C7" s="1"/>
      <c r="D7" s="1" t="s">
        <v>49</v>
      </c>
    </row>
    <row r="8" spans="1:4" ht="28.5">
      <c r="A8" s="1" t="s">
        <v>50</v>
      </c>
      <c r="B8" s="3">
        <v>500</v>
      </c>
      <c r="C8" s="1"/>
      <c r="D8" s="1" t="s">
        <v>51</v>
      </c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sqref="A1:D1"/>
    </sheetView>
  </sheetViews>
  <sheetFormatPr baseColWidth="10" defaultColWidth="9" defaultRowHeight="14.25"/>
  <cols>
    <col min="1" max="1" width="24" customWidth="1"/>
    <col min="2" max="2" width="18" customWidth="1"/>
    <col min="3" max="3" width="3" customWidth="1"/>
    <col min="4" max="4" width="48" customWidth="1"/>
  </cols>
  <sheetData>
    <row r="1" spans="1:4" ht="20.25">
      <c r="A1" s="19" t="s">
        <v>42</v>
      </c>
      <c r="B1" s="19"/>
      <c r="C1" s="19"/>
      <c r="D1" s="19"/>
    </row>
    <row r="2" spans="1:4">
      <c r="A2" s="1"/>
      <c r="B2" s="1"/>
      <c r="C2" s="1"/>
      <c r="D2" s="1"/>
    </row>
    <row r="3" spans="1:4" ht="15">
      <c r="A3" s="2" t="s">
        <v>43</v>
      </c>
      <c r="B3" s="2" t="s">
        <v>44</v>
      </c>
      <c r="C3" s="1"/>
      <c r="D3" s="2" t="s">
        <v>45</v>
      </c>
    </row>
    <row r="4" spans="1:4" ht="28.5">
      <c r="A4" s="1" t="s">
        <v>4</v>
      </c>
      <c r="B4" s="3">
        <v>1500</v>
      </c>
      <c r="C4" s="1"/>
      <c r="D4" s="1" t="s">
        <v>46</v>
      </c>
    </row>
    <row r="5" spans="1:4">
      <c r="A5" s="1" t="s">
        <v>34</v>
      </c>
      <c r="B5" s="4">
        <v>0.25</v>
      </c>
      <c r="C5" s="1"/>
      <c r="D5" s="1" t="s">
        <v>47</v>
      </c>
    </row>
    <row r="6" spans="1:4">
      <c r="A6" s="1" t="s">
        <v>30</v>
      </c>
      <c r="B6" s="4">
        <v>0.05</v>
      </c>
      <c r="C6" s="1"/>
      <c r="D6" s="1" t="s">
        <v>48</v>
      </c>
    </row>
    <row r="7" spans="1:4" ht="28.5">
      <c r="A7" s="1" t="s">
        <v>37</v>
      </c>
      <c r="B7" s="4">
        <v>0</v>
      </c>
      <c r="C7" s="1"/>
      <c r="D7" s="1" t="s">
        <v>49</v>
      </c>
    </row>
    <row r="8" spans="1:4" ht="28.5">
      <c r="A8" s="1" t="s">
        <v>50</v>
      </c>
      <c r="B8" s="3">
        <v>500</v>
      </c>
      <c r="C8" s="1"/>
      <c r="D8" s="1" t="s">
        <v>51</v>
      </c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ramo</vt:lpstr>
      <vt:lpstr>Anyelo</vt:lpstr>
      <vt:lpstr>Muñe ale</vt:lpstr>
      <vt:lpstr>Dahiky</vt:lpstr>
      <vt:lpstr>Taza</vt:lpstr>
      <vt:lpstr>Conejo</vt:lpstr>
      <vt:lpstr>Gallina</vt:lpstr>
      <vt:lpstr>Lazo</vt:lpstr>
      <vt:lpstr>Gancito</vt:lpstr>
      <vt:lpstr>Configuración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Valerio</cp:lastModifiedBy>
  <dcterms:modified xsi:type="dcterms:W3CDTF">2026-09-07T19:58:54Z</dcterms:modified>
</cp:coreProperties>
</file>